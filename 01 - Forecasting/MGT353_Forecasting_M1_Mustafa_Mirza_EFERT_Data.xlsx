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622850c18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" sheetId="1" r:id="R3b1218766a824f7e"/>
    <x:sheet xmlns:r="http://schemas.openxmlformats.org/officeDocument/2006/relationships" name="Synthetic_Data" sheetId="2" r:id="R80f98d7e263c4cbd"/>
    <x:sheet xmlns:r="http://schemas.openxmlformats.org/officeDocument/2006/relationships" name="Data_Dictionary" sheetId="3" r:id="Rb42f0561f8314279"/>
    <x:sheet xmlns:r="http://schemas.openxmlformats.org/officeDocument/2006/relationships" name="Assumption_Log" sheetId="4" r:id="R5b375b0f0ed54c80"/>
    <x:sheet xmlns:r="http://schemas.openxmlformats.org/officeDocument/2006/relationships" name="Master_Prompt" sheetId="5" r:id="R5c86fc37270f470b"/>
    <x:sheet xmlns:r="http://schemas.openxmlformats.org/officeDocument/2006/relationships" name="AI_Use_Log" sheetId="6" r:id="R80eda933f449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ee54f4d3a48d5" /><Relationship Type="http://schemas.openxmlformats.org/officeDocument/2006/relationships/theme" Target="/xl/theme/theme1.xml" Id="R8c38017fedbd41db" /><Relationship Type="http://schemas.openxmlformats.org/officeDocument/2006/relationships/sharedStrings" Target="/xl/sharedStrings.xml" Id="R0720b713cfbf4fef" /><Relationship Type="http://schemas.openxmlformats.org/officeDocument/2006/relationships/worksheet" Target="/xl/worksheets/sheet1.xml" Id="R3b1218766a824f7e" /><Relationship Type="http://schemas.openxmlformats.org/officeDocument/2006/relationships/worksheet" Target="/xl/worksheets/sheet2.xml" Id="R80f98d7e263c4cbd" /><Relationship Type="http://schemas.openxmlformats.org/officeDocument/2006/relationships/worksheet" Target="/xl/worksheets/sheet3.xml" Id="Rb42f0561f8314279" /><Relationship Type="http://schemas.openxmlformats.org/officeDocument/2006/relationships/worksheet" Target="/xl/worksheets/sheet4.xml" Id="R5b375b0f0ed54c80" /><Relationship Type="http://schemas.openxmlformats.org/officeDocument/2006/relationships/worksheet" Target="/xl/worksheets/sheet5.xml" Id="R5c86fc37270f470b" /><Relationship Type="http://schemas.openxmlformats.org/officeDocument/2006/relationships/worksheet" Target="/xl/worksheets/sheet6.xml" Id="R80eda933f4494835" /></Relationships>
</file>

<file path=xl/tables/table1.xml><?xml version="1.0" encoding="utf-8"?>
<x:table xmlns:x="http://schemas.openxmlformats.org/spreadsheetml/2006/main" id="1" name="SyntheticDemandTable" displayName="SyntheticDemandTable" ref="A3:N159" headerRowCount="1" totalsRowCount="0" totalsRowShown="0">
  <x:tableColumns count="14">
    <x:tableColumn id="1" name="Week_Start_Date"/>
    <x:tableColumn id="2" name="Product_or_Category"/>
    <x:tableColumn id="3" name="Actual_Demand_Bags"/>
    <x:tableColumn id="4" name="Demand_Tonnes"/>
    <x:tableColumn id="5" name="Historical_Forecast"/>
    <x:tableColumn id="6" name="Price_PKR_Per_Bag"/>
    <x:tableColumn id="7" name="Promo_Flag"/>
    <x:tableColumn id="8" name="Promo_Depth_Pct"/>
    <x:tableColumn id="9" name="Event_Flag"/>
    <x:tableColumn id="10" name="Agricultural_Season"/>
    <x:tableColumn id="11" name="Distribution_Points"/>
    <x:tableColumn id="12" name="Stockout_Flag"/>
    <x:tableColumn id="13" name="Exceptional_Event"/>
    <x:tableColumn id="14" name="Dataset_Spl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551ca702a9415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8" hidden="0" customWidth="1"/>
    <x:col min="4" max="4" width="20" hidden="0" customWidth="1"/>
    <x:col min="5" max="5" width="46" hidden="0" customWidth="1"/>
    <x:col min="6" max="6" width="34" hidden="0" customWidth="1"/>
  </x:cols>
  <x:sheetData>
    <x:row r="1">
      <x:c r="A1" s="5" t="str">
        <x:v>EFERT Forecasting Milestone 1 — Synthetic Data Calibration</x:v>
      </x:c>
      <x:c r="B1" s="5"/>
      <x:c r="C1" s="5"/>
      <x:c r="D1" s="5"/>
      <x:c r="E1" s="5"/>
      <x:c r="F1" s="5"/>
    </x:row>
    <x:row r="3">
      <x:c r="A3" s="12" t="str">
        <x:v>Calibration item</x:v>
      </x:c>
      <x:c r="B3" s="12" t="str">
        <x:v>Disclosed / reference value</x:v>
      </x:c>
      <x:c r="C3" s="12" t="str">
        <x:v>How used</x:v>
      </x:c>
      <x:c r="D3" s="12" t="str">
        <x:v>Status</x:v>
      </x:c>
      <x:c r="E3" s="12" t="str">
        <x:v>Source</x:v>
      </x:c>
      <x:c r="F3" s="12" t="str">
        <x:v>Notes</x:v>
      </x:c>
    </x:row>
    <x:row r="4">
      <x:c r="A4" s="16" t="str">
        <x:v>Company</x:v>
      </x:c>
      <x:c r="B4" s="16" t="str">
        <x:v>Engro Fertilizers Limited (EFERT)</x:v>
      </x:c>
      <x:c r="C4" s="16" t="str">
        <x:v>Project company</x:v>
      </x:c>
      <x:c r="D4" s="16" t="str">
        <x:v>Real / disclosed</x:v>
      </x:c>
      <x:c r="E4" s="16" t="str">
        <x:v>https://dps.psx.com.pk/company/EFERT</x:v>
      </x:c>
      <x:c r="F4" s="16" t="str">
        <x:v>PSX-listed fertilizer manufacturer</x:v>
      </x:c>
    </x:row>
    <x:row r="5">
      <x:c r="A5" s="16" t="str">
        <x:v>Forecast object</x:v>
      </x:c>
      <x:c r="B5" s="16" t="str">
        <x:v>Engro Urea, 50 kg bag</x:v>
      </x:c>
      <x:c r="C5" s="16" t="str">
        <x:v>Weekly forecast target</x:v>
      </x:c>
      <x:c r="D5" s="16" t="str">
        <x:v>Real / disclosed</x:v>
      </x:c>
      <x:c r="E5" s="16" t="str">
        <x:v>https://www.engrofertilizers.com/brands/</x:v>
      </x:c>
      <x:c r="F5" s="16" t="str">
        <x:v>Company states Engro Urea is marketed in a 50 kg bag</x:v>
      </x:c>
    </x:row>
    <x:row r="6">
      <x:c r="A6" s="16" t="str">
        <x:v>Product characteristic</x:v>
      </x:c>
      <x:c r="B6" s="16" t="str">
        <x:v>46% nitrogen urea</x:v>
      </x:c>
      <x:c r="C6" s="16" t="str">
        <x:v>Category context</x:v>
      </x:c>
      <x:c r="D6" s="16" t="str">
        <x:v>Real / disclosed</x:v>
      </x:c>
      <x:c r="E6" s="16" t="str">
        <x:v>https://www.engrofertilizers.com/brands/</x:v>
      </x:c>
      <x:c r="F6" s="16" t="str">
        <x:v>Straight nitrogen fertilizer</x:v>
      </x:c>
    </x:row>
    <x:row r="7">
      <x:c r="A7" s="16" t="str">
        <x:v>Current production scale</x:v>
      </x:c>
      <x:c r="B7" s="16" t="str">
        <x:v>Approx. 2.2 million tonnes/year</x:v>
      </x:c>
      <x:c r="C7" s="16" t="str">
        <x:v>Demand-scale plausibility check</x:v>
      </x:c>
      <x:c r="D7" s="16" t="str">
        <x:v>Real / disclosed</x:v>
      </x:c>
      <x:c r="E7" s="16" t="str">
        <x:v>https://www.engrofertilizers.com/brands/</x:v>
      </x:c>
      <x:c r="F7" s="16" t="str">
        <x:v>Company website production statement</x:v>
      </x:c>
    </x:row>
    <x:row r="8">
      <x:c r="A8" s="16" t="str">
        <x:v>FY2025 urea sales</x:v>
      </x:c>
      <x:c r="B8" s="16" t="str">
        <x:v>2,314 KT</x:v>
      </x:c>
      <x:c r="C8" s="16" t="str">
        <x:v>Scale calibration only; weekly rows remain synthetic</x:v>
      </x:c>
      <x:c r="D8" s="16" t="str">
        <x:v>Real / disclosed</x:v>
      </x:c>
      <x:c r="E8" s="16" t="str">
        <x:v>https://dps.psx.com.pk/download/document/273122.pdf</x:v>
      </x:c>
      <x:c r="F8" s="16" t="str">
        <x:v>Q4 2025 corporate briefing</x:v>
      </x:c>
    </x:row>
    <x:row r="9">
      <x:c r="A9" s="16" t="str">
        <x:v>FY2025 revenue</x:v>
      </x:c>
      <x:c r="B9" s="16" t="str">
        <x:v>PKR 237,131 million (consolidated annual report)</x:v>
      </x:c>
      <x:c r="C9" s="16" t="str">
        <x:v>Master-prompt calibration fact</x:v>
      </x:c>
      <x:c r="D9" s="16" t="str">
        <x:v>Real / disclosed</x:v>
      </x:c>
      <x:c r="E9" s="16" t="str">
        <x:v>https://www.psx.com.pk/psx/files-attachment?file=272025.pdf</x:v>
      </x:c>
      <x:c r="F9" s="16" t="str">
        <x:v>Annual report 2025 key performance highlights</x:v>
      </x:c>
    </x:row>
    <x:row r="10">
      <x:c r="A10" s="16" t="str">
        <x:v>Fiscal year-end</x:v>
      </x:c>
      <x:c r="B10" s="16" t="str">
        <x:v>December 31</x:v>
      </x:c>
      <x:c r="C10" s="16" t="str">
        <x:v>Calendar alignment</x:v>
      </x:c>
      <x:c r="D10" s="16" t="str">
        <x:v>Real / disclosed</x:v>
      </x:c>
      <x:c r="E10" s="16" t="str">
        <x:v>https://dps.psx.com.pk/company/EFERT</x:v>
      </x:c>
      <x:c r="F10" s="16" t="str">
        <x:v>PSX company profile</x:v>
      </x:c>
    </x:row>
    <x:row r="11">
      <x:c r="A11" s="16" t="str">
        <x:v>2025 market urea price reference</x:v>
      </x:c>
      <x:c r="B11" s="16" t="str">
        <x:v>Around PKR 4,222–4,302 per 50 kg bag in Dec-2025</x:v>
      </x:c>
      <x:c r="C11" s="16" t="str">
        <x:v>Price-range calibration</x:v>
      </x:c>
      <x:c r="D11" s="16" t="str">
        <x:v>External market reference</x:v>
      </x:c>
      <x:c r="E11" s="16" t="str">
        <x:v>https://www.mnfsr.gov.pk/SiteImage/Publication/MFRDec-2025.pdf</x:v>
      </x:c>
      <x:c r="F11" s="16" t="str">
        <x:v>NFDC/PBS average retail prices, not EFERT-specific</x:v>
      </x:c>
    </x:row>
    <x:row r="14">
      <x:c r="A14" s="19" t="str">
        <x:v>Mandatory Disclosure</x:v>
      </x:c>
      <x:c r="B14" s="19"/>
      <x:c r="C14" s="19"/>
      <x:c r="D14" s="19"/>
      <x:c r="E14" s="19"/>
      <x:c r="F14" s="19"/>
    </x:row>
    <x:row r="15" ht="30" customHeight="1">
      <x:c r="A15" s="23" t="str">
        <x:v>Company-Calibrated Synthetic Dataset for Academic Analysis — illustrative figures, calibrated to Engro Fertilizers Limited (EFERT)'s disclosed scale, not actual company records.</x:v>
      </x:c>
      <x:c r="B15" s="23"/>
      <x:c r="C15" s="23"/>
      <x:c r="D15" s="23"/>
      <x:c r="E15" s="23"/>
      <x:c r="F15" s="23"/>
    </x:row>
    <x:row r="16" ht="30" customHeight="1">
      <x:c r="A16" s="23"/>
      <x:c r="B16" s="23"/>
      <x:c r="C16" s="23"/>
      <x:c r="D16" s="23"/>
      <x:c r="E16" s="23"/>
      <x:c r="F16" s="23"/>
    </x:row>
  </x:sheetData>
  <x:mergeCells>
    <x:mergeCell ref="A1:F1"/>
    <x:mergeCell ref="A14:F14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5" hidden="0" customWidth="1"/>
    <x:col min="5" max="5" width="18" hidden="0" customWidth="1"/>
    <x:col min="6" max="6" width="18" hidden="0" customWidth="1"/>
    <x:col min="7" max="7" width="11" hidden="0" customWidth="1"/>
    <x:col min="8" max="8" width="15" hidden="0" customWidth="1"/>
    <x:col min="9" max="9" width="11" hidden="0" customWidth="1"/>
    <x:col min="10" max="10" width="24" hidden="0" customWidth="1"/>
    <x:col min="11" max="11" width="19" hidden="0" customWidth="1"/>
    <x:col min="12" max="12" width="13" hidden="0" customWidth="1"/>
    <x:col min="13" max="13" width="42" hidden="0" customWidth="1"/>
    <x:col min="14" max="14" width="12" hidden="0" customWidth="1"/>
  </x:cols>
  <x:sheetData>
    <x:row r="1" ht="44" customHeight="1">
      <x:c r="A1" s="27" t="str">
        <x:v>Company-Calibrated Synthetic Dataset for Academic Analysis — illustrative figures, calibrated to Engro Fertilizers Limited (EFERT)'s disclosed scale, not actual company records.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3">
      <x:c r="A3" s="30" t="str">
        <x:v>Week_Start_Date</x:v>
      </x:c>
      <x:c r="B3" s="30" t="str">
        <x:v>Product_or_Category</x:v>
      </x:c>
      <x:c r="C3" s="30" t="str">
        <x:v>Actual_Demand_Bags</x:v>
      </x:c>
      <x:c r="D3" s="30" t="str">
        <x:v>Demand_Tonnes</x:v>
      </x:c>
      <x:c r="E3" s="30" t="str">
        <x:v>Historical_Forecast</x:v>
      </x:c>
      <x:c r="F3" s="30" t="str">
        <x:v>Price_PKR_Per_Bag</x:v>
      </x:c>
      <x:c r="G3" s="30" t="str">
        <x:v>Promo_Flag</x:v>
      </x:c>
      <x:c r="H3" s="30" t="str">
        <x:v>Promo_Depth_Pct</x:v>
      </x:c>
      <x:c r="I3" s="30" t="str">
        <x:v>Event_Flag</x:v>
      </x:c>
      <x:c r="J3" s="30" t="str">
        <x:v>Agricultural_Season</x:v>
      </x:c>
      <x:c r="K3" s="30" t="str">
        <x:v>Distribution_Points</x:v>
      </x:c>
      <x:c r="L3" s="30" t="str">
        <x:v>Stockout_Flag</x:v>
      </x:c>
      <x:c r="M3" s="30" t="str">
        <x:v>Exceptional_Event</x:v>
      </x:c>
      <x:c r="N3" s="30" t="str">
        <x:v>Dataset_Split</x:v>
      </x:c>
    </x:row>
    <x:row r="4">
      <x:c r="A4" s="38" t="n">
        <x:v>44928</x:v>
      </x:c>
      <x:c r="B4" s="16" t="str">
        <x:v>Engro Urea - 50 kg bag</x:v>
      </x:c>
      <x:c r="C4" s="39" t="n">
        <x:v>893000</x:v>
      </x:c>
      <x:c r="D4" s="39" t="n">
        <x:f>C4*0.05</x:f>
        <x:v>44650</x:v>
      </x:c>
      <x:c r="E4" s="39" t="n">
        <x:v>892000</x:v>
      </x:c>
      <x:c r="F4" s="39" t="n">
        <x:v>3450</x:v>
      </x:c>
      <x:c r="G4" s="39" t="n">
        <x:v>0</x:v>
      </x:c>
      <x:c r="H4" s="40" t="n">
        <x:v>0</x:v>
      </x:c>
      <x:c r="I4" s="16" t="n">
        <x:v>1</x:v>
      </x:c>
      <x:c r="J4" s="16" t="str">
        <x:v>Rabi demand window</x:v>
      </x:c>
      <x:c r="K4" s="39" t="n">
        <x:v>978</x:v>
      </x:c>
      <x:c r="L4" s="16" t="n">
        <x:v>0</x:v>
      </x:c>
      <x:c r="M4" s="16" t="str"/>
      <x:c r="N4" s="16" t="str">
        <x:v>Train</x:v>
      </x:c>
    </x:row>
    <x:row r="5">
      <x:c r="A5" s="38" t="n">
        <x:v>44935</x:v>
      </x:c>
      <x:c r="B5" s="16" t="str">
        <x:v>Engro Urea - 50 kg bag</x:v>
      </x:c>
      <x:c r="C5" s="39" t="n">
        <x:v>900000</x:v>
      </x:c>
      <x:c r="D5" s="39" t="n">
        <x:f>C5*0.05</x:f>
        <x:v>45000</x:v>
      </x:c>
      <x:c r="E5" s="39" t="n">
        <x:v>900000</x:v>
      </x:c>
      <x:c r="F5" s="39" t="n">
        <x:v>3490</x:v>
      </x:c>
      <x:c r="G5" s="39" t="n">
        <x:v>0</x:v>
      </x:c>
      <x:c r="H5" s="40" t="n">
        <x:v>0</x:v>
      </x:c>
      <x:c r="I5" s="16" t="n">
        <x:v>1</x:v>
      </x:c>
      <x:c r="J5" s="16" t="str">
        <x:v>Rabi demand window</x:v>
      </x:c>
      <x:c r="K5" s="39" t="n">
        <x:v>967</x:v>
      </x:c>
      <x:c r="L5" s="16" t="n">
        <x:v>0</x:v>
      </x:c>
      <x:c r="M5" s="16" t="str"/>
      <x:c r="N5" s="16" t="str">
        <x:v>Train</x:v>
      </x:c>
    </x:row>
    <x:row r="6">
      <x:c r="A6" s="38" t="n">
        <x:v>44942</x:v>
      </x:c>
      <x:c r="B6" s="16" t="str">
        <x:v>Engro Urea - 50 kg bag</x:v>
      </x:c>
      <x:c r="C6" s="39" t="n">
        <x:v>899000</x:v>
      </x:c>
      <x:c r="D6" s="39" t="n">
        <x:f>C6*0.05</x:f>
        <x:v>44950</x:v>
      </x:c>
      <x:c r="E6" s="39" t="n">
        <x:v>949000</x:v>
      </x:c>
      <x:c r="F6" s="39" t="n">
        <x:v>3470</x:v>
      </x:c>
      <x:c r="G6" s="39" t="n">
        <x:v>0</x:v>
      </x:c>
      <x:c r="H6" s="40" t="n">
        <x:v>0</x:v>
      </x:c>
      <x:c r="I6" s="16" t="n">
        <x:v>1</x:v>
      </x:c>
      <x:c r="J6" s="16" t="str">
        <x:v>Rabi demand window</x:v>
      </x:c>
      <x:c r="K6" s="39" t="n">
        <x:v>939</x:v>
      </x:c>
      <x:c r="L6" s="16" t="n">
        <x:v>0</x:v>
      </x:c>
      <x:c r="M6" s="16" t="str"/>
      <x:c r="N6" s="16" t="str">
        <x:v>Train</x:v>
      </x:c>
    </x:row>
    <x:row r="7">
      <x:c r="A7" s="38" t="n">
        <x:v>44949</x:v>
      </x:c>
      <x:c r="B7" s="16" t="str">
        <x:v>Engro Urea - 50 kg bag</x:v>
      </x:c>
      <x:c r="C7" s="39" t="n">
        <x:v>878000</x:v>
      </x:c>
      <x:c r="D7" s="39" t="n">
        <x:f>C7*0.05</x:f>
        <x:v>43900</x:v>
      </x:c>
      <x:c r="E7" s="39" t="n">
        <x:v>949000</x:v>
      </x:c>
      <x:c r="F7" s="39" t="n">
        <x:v>3490</x:v>
      </x:c>
      <x:c r="G7" s="39" t="n">
        <x:v>0</x:v>
      </x:c>
      <x:c r="H7" s="40" t="n">
        <x:v>0</x:v>
      </x:c>
      <x:c r="I7" s="16" t="n">
        <x:v>1</x:v>
      </x:c>
      <x:c r="J7" s="16" t="str">
        <x:v>Rabi demand window</x:v>
      </x:c>
      <x:c r="K7" s="39" t="n">
        <x:v>968</x:v>
      </x:c>
      <x:c r="L7" s="16" t="n">
        <x:v>0</x:v>
      </x:c>
      <x:c r="M7" s="16" t="str"/>
      <x:c r="N7" s="16" t="str">
        <x:v>Train</x:v>
      </x:c>
    </x:row>
    <x:row r="8">
      <x:c r="A8" s="38" t="n">
        <x:v>44956</x:v>
      </x:c>
      <x:c r="B8" s="16" t="str">
        <x:v>Engro Urea - 50 kg bag</x:v>
      </x:c>
      <x:c r="C8" s="39" t="n">
        <x:v>906000</x:v>
      </x:c>
      <x:c r="D8" s="39" t="n">
        <x:f>C8*0.05</x:f>
        <x:v>45300</x:v>
      </x:c>
      <x:c r="E8" s="39" t="n">
        <x:v>936000</x:v>
      </x:c>
      <x:c r="F8" s="39" t="n">
        <x:v>3410</x:v>
      </x:c>
      <x:c r="G8" s="39" t="n">
        <x:v>0</x:v>
      </x:c>
      <x:c r="H8" s="40" t="n">
        <x:v>0</x:v>
      </x:c>
      <x:c r="I8" s="16" t="n">
        <x:v>1</x:v>
      </x:c>
      <x:c r="J8" s="16" t="str">
        <x:v>Rabi demand window</x:v>
      </x:c>
      <x:c r="K8" s="39" t="n">
        <x:v>955</x:v>
      </x:c>
      <x:c r="L8" s="16" t="n">
        <x:v>0</x:v>
      </x:c>
      <x:c r="M8" s="16" t="str"/>
      <x:c r="N8" s="16" t="str">
        <x:v>Train</x:v>
      </x:c>
    </x:row>
    <x:row r="9">
      <x:c r="A9" s="38" t="n">
        <x:v>44963</x:v>
      </x:c>
      <x:c r="B9" s="16" t="str">
        <x:v>Engro Urea - 50 kg bag</x:v>
      </x:c>
      <x:c r="C9" s="39" t="n">
        <x:v>728000</x:v>
      </x:c>
      <x:c r="D9" s="39" t="n">
        <x:f>C9*0.05</x:f>
        <x:v>36400</x:v>
      </x:c>
      <x:c r="E9" s="39" t="n">
        <x:v>879000</x:v>
      </x:c>
      <x:c r="F9" s="39" t="n">
        <x:v>3450</x:v>
      </x:c>
      <x:c r="G9" s="39" t="n">
        <x:v>0</x:v>
      </x:c>
      <x:c r="H9" s="40" t="n">
        <x:v>0</x:v>
      </x:c>
      <x:c r="I9" s="16" t="n">
        <x:v>0</x:v>
      </x:c>
      <x:c r="J9" s="16" t="str">
        <x:v>Rabi demand window</x:v>
      </x:c>
      <x:c r="K9" s="39" t="n">
        <x:v>961</x:v>
      </x:c>
      <x:c r="L9" s="16" t="n">
        <x:v>0</x:v>
      </x:c>
      <x:c r="M9" s="16" t="str"/>
      <x:c r="N9" s="16" t="str">
        <x:v>Train</x:v>
      </x:c>
    </x:row>
    <x:row r="10">
      <x:c r="A10" s="38" t="n">
        <x:v>44970</x:v>
      </x:c>
      <x:c r="B10" s="16" t="str">
        <x:v>Engro Urea - 50 kg bag</x:v>
      </x:c>
      <x:c r="C10" s="39" t="n">
        <x:v>820000</x:v>
      </x:c>
      <x:c r="D10" s="39" t="n">
        <x:f>C10*0.05</x:f>
        <x:v>41000</x:v>
      </x:c>
      <x:c r="E10" s="39" t="n">
        <x:v>718000</x:v>
      </x:c>
      <x:c r="F10" s="39" t="n">
        <x:v>3470</x:v>
      </x:c>
      <x:c r="G10" s="39" t="n">
        <x:v>1</x:v>
      </x:c>
      <x:c r="H10" s="40" t="n">
        <x:v>0.02</x:v>
      </x:c>
      <x:c r="I10" s="16" t="n">
        <x:v>0</x:v>
      </x:c>
      <x:c r="J10" s="16" t="str">
        <x:v>Rabi demand window</x:v>
      </x:c>
      <x:c r="K10" s="39" t="n">
        <x:v>967</x:v>
      </x:c>
      <x:c r="L10" s="16" t="n">
        <x:v>0</x:v>
      </x:c>
      <x:c r="M10" s="16" t="str"/>
      <x:c r="N10" s="16" t="str">
        <x:v>Train</x:v>
      </x:c>
    </x:row>
    <x:row r="11">
      <x:c r="A11" s="38" t="n">
        <x:v>44977</x:v>
      </x:c>
      <x:c r="B11" s="16" t="str">
        <x:v>Engro Urea - 50 kg bag</x:v>
      </x:c>
      <x:c r="C11" s="39" t="n">
        <x:v>828000</x:v>
      </x:c>
      <x:c r="D11" s="39" t="n">
        <x:f>C11*0.05</x:f>
        <x:v>41400</x:v>
      </x:c>
      <x:c r="E11" s="39" t="n">
        <x:v>798000</x:v>
      </x:c>
      <x:c r="F11" s="39" t="n">
        <x:v>3450</x:v>
      </x:c>
      <x:c r="G11" s="39" t="n">
        <x:v>0</x:v>
      </x:c>
      <x:c r="H11" s="40" t="n">
        <x:v>0</x:v>
      </x:c>
      <x:c r="I11" s="16" t="n">
        <x:v>0</x:v>
      </x:c>
      <x:c r="J11" s="16" t="str">
        <x:v>Rabi demand window</x:v>
      </x:c>
      <x:c r="K11" s="39" t="n">
        <x:v>967</x:v>
      </x:c>
      <x:c r="L11" s="16" t="n">
        <x:v>0</x:v>
      </x:c>
      <x:c r="M11" s="16" t="str"/>
      <x:c r="N11" s="16" t="str">
        <x:v>Train</x:v>
      </x:c>
    </x:row>
    <x:row r="12">
      <x:c r="A12" s="38" t="n">
        <x:v>44984</x:v>
      </x:c>
      <x:c r="B12" s="16" t="str">
        <x:v>Engro Urea - 50 kg bag</x:v>
      </x:c>
      <x:c r="C12" s="39" t="n">
        <x:v>722000</x:v>
      </x:c>
      <x:c r="D12" s="39" t="n">
        <x:f>C12*0.05</x:f>
        <x:v>36100</x:v>
      </x:c>
      <x:c r="E12" s="39" t="n">
        <x:v>812000</x:v>
      </x:c>
      <x:c r="F12" s="39" t="n">
        <x:v>3490</x:v>
      </x:c>
      <x:c r="G12" s="39" t="n">
        <x:v>0</x:v>
      </x:c>
      <x:c r="H12" s="40" t="n">
        <x:v>0</x:v>
      </x:c>
      <x:c r="I12" s="16" t="n">
        <x:v>0</x:v>
      </x:c>
      <x:c r="J12" s="16" t="str">
        <x:v>Rabi demand window</x:v>
      </x:c>
      <x:c r="K12" s="39" t="n">
        <x:v>970</x:v>
      </x:c>
      <x:c r="L12" s="16" t="n">
        <x:v>0</x:v>
      </x:c>
      <x:c r="M12" s="16" t="str"/>
      <x:c r="N12" s="16" t="str">
        <x:v>Train</x:v>
      </x:c>
    </x:row>
    <x:row r="13">
      <x:c r="A13" s="38" t="n">
        <x:v>44991</x:v>
      </x:c>
      <x:c r="B13" s="16" t="str">
        <x:v>Engro Urea - 50 kg bag</x:v>
      </x:c>
      <x:c r="C13" s="39" t="n">
        <x:v>636000</x:v>
      </x:c>
      <x:c r="D13" s="39" t="n">
        <x:f>C13*0.05</x:f>
        <x:v>31800</x:v>
      </x:c>
      <x:c r="E13" s="39" t="n">
        <x:v>709000</x:v>
      </x:c>
      <x:c r="F13" s="39" t="n">
        <x:v>3470</x:v>
      </x:c>
      <x:c r="G13" s="39" t="n">
        <x:v>0</x:v>
      </x:c>
      <x:c r="H13" s="40" t="n">
        <x:v>0</x:v>
      </x:c>
      <x:c r="I13" s="16" t="n">
        <x:v>0</x:v>
      </x:c>
      <x:c r="J13" s="16" t="str">
        <x:v>Normal / shoulder period</x:v>
      </x:c>
      <x:c r="K13" s="39" t="n">
        <x:v>970</x:v>
      </x:c>
      <x:c r="L13" s="16" t="n">
        <x:v>0</x:v>
      </x:c>
      <x:c r="M13" s="16" t="str"/>
      <x:c r="N13" s="16" t="str">
        <x:v>Train</x:v>
      </x:c>
    </x:row>
    <x:row r="14">
      <x:c r="A14" s="38" t="n">
        <x:v>44998</x:v>
      </x:c>
      <x:c r="B14" s="16" t="str">
        <x:v>Engro Urea - 50 kg bag</x:v>
      </x:c>
      <x:c r="C14" s="39" t="n">
        <x:v>703000</x:v>
      </x:c>
      <x:c r="D14" s="39" t="n">
        <x:f>C14*0.05</x:f>
        <x:v>35150</x:v>
      </x:c>
      <x:c r="E14" s="39" t="n">
        <x:v>616000</x:v>
      </x:c>
      <x:c r="F14" s="39" t="n">
        <x:v>3450</x:v>
      </x:c>
      <x:c r="G14" s="39" t="n">
        <x:v>0</x:v>
      </x:c>
      <x:c r="H14" s="40" t="n">
        <x:v>0</x:v>
      </x:c>
      <x:c r="I14" s="16" t="n">
        <x:v>0</x:v>
      </x:c>
      <x:c r="J14" s="16" t="str">
        <x:v>Normal / shoulder period</x:v>
      </x:c>
      <x:c r="K14" s="39" t="n">
        <x:v>978</x:v>
      </x:c>
      <x:c r="L14" s="16" t="n">
        <x:v>0</x:v>
      </x:c>
      <x:c r="M14" s="16" t="str"/>
      <x:c r="N14" s="16" t="str">
        <x:v>Train</x:v>
      </x:c>
    </x:row>
    <x:row r="15">
      <x:c r="A15" s="38" t="n">
        <x:v>45005</x:v>
      </x:c>
      <x:c r="B15" s="16" t="str">
        <x:v>Engro Urea - 50 kg bag</x:v>
      </x:c>
      <x:c r="C15" s="39" t="n">
        <x:v>615000</x:v>
      </x:c>
      <x:c r="D15" s="39" t="n">
        <x:f>C15*0.05</x:f>
        <x:v>30750</x:v>
      </x:c>
      <x:c r="E15" s="39" t="n">
        <x:v>655000</x:v>
      </x:c>
      <x:c r="F15" s="39" t="n">
        <x:v>3430</x:v>
      </x:c>
      <x:c r="G15" s="39" t="n">
        <x:v>0</x:v>
      </x:c>
      <x:c r="H15" s="40" t="n">
        <x:v>0</x:v>
      </x:c>
      <x:c r="I15" s="16" t="n">
        <x:v>0</x:v>
      </x:c>
      <x:c r="J15" s="16" t="str">
        <x:v>Normal / shoulder period</x:v>
      </x:c>
      <x:c r="K15" s="39" t="n">
        <x:v>951</x:v>
      </x:c>
      <x:c r="L15" s="16" t="n">
        <x:v>0</x:v>
      </x:c>
      <x:c r="M15" s="16" t="str"/>
      <x:c r="N15" s="16" t="str">
        <x:v>Train</x:v>
      </x:c>
    </x:row>
    <x:row r="16">
      <x:c r="A16" s="38" t="n">
        <x:v>45012</x:v>
      </x:c>
      <x:c r="B16" s="16" t="str">
        <x:v>Engro Urea - 50 kg bag</x:v>
      </x:c>
      <x:c r="C16" s="39" t="n">
        <x:v>705000</x:v>
      </x:c>
      <x:c r="D16" s="39" t="n">
        <x:f>C16*0.05</x:f>
        <x:v>35250</x:v>
      </x:c>
      <x:c r="E16" s="39" t="n">
        <x:v>568000</x:v>
      </x:c>
      <x:c r="F16" s="39" t="n">
        <x:v>3490</x:v>
      </x:c>
      <x:c r="G16" s="39" t="n">
        <x:v>0</x:v>
      </x:c>
      <x:c r="H16" s="40" t="n">
        <x:v>0</x:v>
      </x:c>
      <x:c r="I16" s="16" t="n">
        <x:v>0</x:v>
      </x:c>
      <x:c r="J16" s="16" t="str">
        <x:v>Normal / shoulder period</x:v>
      </x:c>
      <x:c r="K16" s="39" t="n">
        <x:v>973</x:v>
      </x:c>
      <x:c r="L16" s="16" t="n">
        <x:v>0</x:v>
      </x:c>
      <x:c r="M16" s="16" t="str"/>
      <x:c r="N16" s="16" t="str">
        <x:v>Train</x:v>
      </x:c>
    </x:row>
    <x:row r="17">
      <x:c r="A17" s="38" t="n">
        <x:v>45019</x:v>
      </x:c>
      <x:c r="B17" s="16" t="str">
        <x:v>Engro Urea - 50 kg bag</x:v>
      </x:c>
      <x:c r="C17" s="39" t="n">
        <x:v>735000</x:v>
      </x:c>
      <x:c r="D17" s="39" t="n">
        <x:f>C17*0.05</x:f>
        <x:v>36750</x:v>
      </x:c>
      <x:c r="E17" s="39" t="n">
        <x:v>655000</x:v>
      </x:c>
      <x:c r="F17" s="39" t="n">
        <x:v>3530</x:v>
      </x:c>
      <x:c r="G17" s="39" t="n">
        <x:v>0</x:v>
      </x:c>
      <x:c r="H17" s="40" t="n">
        <x:v>0</x:v>
      </x:c>
      <x:c r="I17" s="16" t="n">
        <x:v>0</x:v>
      </x:c>
      <x:c r="J17" s="16" t="str">
        <x:v>Normal / shoulder period</x:v>
      </x:c>
      <x:c r="K17" s="39" t="n">
        <x:v>982</x:v>
      </x:c>
      <x:c r="L17" s="16" t="n">
        <x:v>0</x:v>
      </x:c>
      <x:c r="M17" s="16" t="str"/>
      <x:c r="N17" s="16" t="str">
        <x:v>Train</x:v>
      </x:c>
    </x:row>
    <x:row r="18">
      <x:c r="A18" s="38" t="n">
        <x:v>45026</x:v>
      </x:c>
      <x:c r="B18" s="16" t="str">
        <x:v>Engro Urea - 50 kg bag</x:v>
      </x:c>
      <x:c r="C18" s="39" t="n">
        <x:v>711000</x:v>
      </x:c>
      <x:c r="D18" s="39" t="n">
        <x:f>C18*0.05</x:f>
        <x:v>35550</x:v>
      </x:c>
      <x:c r="E18" s="39" t="n">
        <x:v>673000</x:v>
      </x:c>
      <x:c r="F18" s="39" t="n">
        <x:v>3530</x:v>
      </x:c>
      <x:c r="G18" s="39" t="n">
        <x:v>0</x:v>
      </x:c>
      <x:c r="H18" s="40" t="n">
        <x:v>0</x:v>
      </x:c>
      <x:c r="I18" s="16" t="n">
        <x:v>0</x:v>
      </x:c>
      <x:c r="J18" s="16" t="str">
        <x:v>Normal / shoulder period</x:v>
      </x:c>
      <x:c r="K18" s="39" t="n">
        <x:v>983</x:v>
      </x:c>
      <x:c r="L18" s="16" t="n">
        <x:v>0</x:v>
      </x:c>
      <x:c r="M18" s="16" t="str"/>
      <x:c r="N18" s="16" t="str">
        <x:v>Train</x:v>
      </x:c>
    </x:row>
    <x:row r="19">
      <x:c r="A19" s="38" t="n">
        <x:v>45033</x:v>
      </x:c>
      <x:c r="B19" s="16" t="str">
        <x:v>Engro Urea - 50 kg bag</x:v>
      </x:c>
      <x:c r="C19" s="39" t="n">
        <x:v>652000</x:v>
      </x:c>
      <x:c r="D19" s="39" t="n">
        <x:f>C19*0.05</x:f>
        <x:v>32600</x:v>
      </x:c>
      <x:c r="E19" s="39" t="n">
        <x:v>669000</x:v>
      </x:c>
      <x:c r="F19" s="39" t="n">
        <x:v>3550</x:v>
      </x:c>
      <x:c r="G19" s="39" t="n">
        <x:v>0</x:v>
      </x:c>
      <x:c r="H19" s="40" t="n">
        <x:v>0</x:v>
      </x:c>
      <x:c r="I19" s="16" t="n">
        <x:v>0</x:v>
      </x:c>
      <x:c r="J19" s="16" t="str">
        <x:v>Normal / shoulder period</x:v>
      </x:c>
      <x:c r="K19" s="39" t="n">
        <x:v>972</x:v>
      </x:c>
      <x:c r="L19" s="16" t="n">
        <x:v>0</x:v>
      </x:c>
      <x:c r="M19" s="16" t="str"/>
      <x:c r="N19" s="16" t="str">
        <x:v>Train</x:v>
      </x:c>
    </x:row>
    <x:row r="20">
      <x:c r="A20" s="38" t="n">
        <x:v>45040</x:v>
      </x:c>
      <x:c r="B20" s="16" t="str">
        <x:v>Engro Urea - 50 kg bag</x:v>
      </x:c>
      <x:c r="C20" s="39" t="n">
        <x:v>733000</x:v>
      </x:c>
      <x:c r="D20" s="39" t="n">
        <x:f>C20*0.05</x:f>
        <x:v>36650</x:v>
      </x:c>
      <x:c r="E20" s="39" t="n">
        <x:v>638000</x:v>
      </x:c>
      <x:c r="F20" s="39" t="n">
        <x:v>3570</x:v>
      </x:c>
      <x:c r="G20" s="39" t="n">
        <x:v>0</x:v>
      </x:c>
      <x:c r="H20" s="40" t="n">
        <x:v>0</x:v>
      </x:c>
      <x:c r="I20" s="16" t="n">
        <x:v>0</x:v>
      </x:c>
      <x:c r="J20" s="16" t="str">
        <x:v>Normal / shoulder period</x:v>
      </x:c>
      <x:c r="K20" s="39" t="n">
        <x:v>977</x:v>
      </x:c>
      <x:c r="L20" s="16" t="n">
        <x:v>0</x:v>
      </x:c>
      <x:c r="M20" s="16" t="str"/>
      <x:c r="N20" s="16" t="str">
        <x:v>Train</x:v>
      </x:c>
    </x:row>
    <x:row r="21">
      <x:c r="A21" s="38" t="n">
        <x:v>45047</x:v>
      </x:c>
      <x:c r="B21" s="16" t="str">
        <x:v>Engro Urea - 50 kg bag</x:v>
      </x:c>
      <x:c r="C21" s="39" t="n">
        <x:v>718000</x:v>
      </x:c>
      <x:c r="D21" s="39" t="n">
        <x:f>C21*0.05</x:f>
        <x:v>35900</x:v>
      </x:c>
      <x:c r="E21" s="39" t="n">
        <x:v>712000</x:v>
      </x:c>
      <x:c r="F21" s="39" t="n">
        <x:v>3510</x:v>
      </x:c>
      <x:c r="G21" s="39" t="n">
        <x:v>0</x:v>
      </x:c>
      <x:c r="H21" s="40" t="n">
        <x:v>0</x:v>
      </x:c>
      <x:c r="I21" s="16" t="n">
        <x:v>0</x:v>
      </x:c>
      <x:c r="J21" s="16" t="str">
        <x:v>Normal / shoulder period</x:v>
      </x:c>
      <x:c r="K21" s="39" t="n">
        <x:v>947</x:v>
      </x:c>
      <x:c r="L21" s="16" t="n">
        <x:v>0</x:v>
      </x:c>
      <x:c r="M21" s="16" t="str"/>
      <x:c r="N21" s="16" t="str">
        <x:v>Train</x:v>
      </x:c>
    </x:row>
    <x:row r="22">
      <x:c r="A22" s="38" t="n">
        <x:v>45054</x:v>
      </x:c>
      <x:c r="B22" s="16" t="str">
        <x:v>Engro Urea - 50 kg bag</x:v>
      </x:c>
      <x:c r="C22" s="39" t="n">
        <x:v>732000</x:v>
      </x:c>
      <x:c r="D22" s="39" t="n">
        <x:f>C22*0.05</x:f>
        <x:v>36600</x:v>
      </x:c>
      <x:c r="E22" s="39" t="n">
        <x:v>708000</x:v>
      </x:c>
      <x:c r="F22" s="39" t="n">
        <x:v>3550</x:v>
      </x:c>
      <x:c r="G22" s="39" t="n">
        <x:v>0</x:v>
      </x:c>
      <x:c r="H22" s="40" t="n">
        <x:v>0</x:v>
      </x:c>
      <x:c r="I22" s="16" t="n">
        <x:v>0</x:v>
      </x:c>
      <x:c r="J22" s="16" t="str">
        <x:v>Normal / shoulder period</x:v>
      </x:c>
      <x:c r="K22" s="39" t="n">
        <x:v>973</x:v>
      </x:c>
      <x:c r="L22" s="16" t="n">
        <x:v>0</x:v>
      </x:c>
      <x:c r="M22" s="16" t="str"/>
      <x:c r="N22" s="16" t="str">
        <x:v>Train</x:v>
      </x:c>
    </x:row>
    <x:row r="23">
      <x:c r="A23" s="38" t="n">
        <x:v>45061</x:v>
      </x:c>
      <x:c r="B23" s="16" t="str">
        <x:v>Engro Urea - 50 kg bag</x:v>
      </x:c>
      <x:c r="C23" s="39" t="n">
        <x:v>795000</x:v>
      </x:c>
      <x:c r="D23" s="39" t="n">
        <x:f>C23*0.05</x:f>
        <x:v>39750</x:v>
      </x:c>
      <x:c r="E23" s="39" t="n">
        <x:v>733000</x:v>
      </x:c>
      <x:c r="F23" s="39" t="n">
        <x:v>3510</x:v>
      </x:c>
      <x:c r="G23" s="39" t="n">
        <x:v>0</x:v>
      </x:c>
      <x:c r="H23" s="40" t="n">
        <x:v>0</x:v>
      </x:c>
      <x:c r="I23" s="16" t="n">
        <x:v>0</x:v>
      </x:c>
      <x:c r="J23" s="16" t="str">
        <x:v>Normal / shoulder period</x:v>
      </x:c>
      <x:c r="K23" s="39" t="n">
        <x:v>1000</x:v>
      </x:c>
      <x:c r="L23" s="16" t="n">
        <x:v>0</x:v>
      </x:c>
      <x:c r="M23" s="16" t="str"/>
      <x:c r="N23" s="16" t="str">
        <x:v>Train</x:v>
      </x:c>
    </x:row>
    <x:row r="24">
      <x:c r="A24" s="38" t="n">
        <x:v>45068</x:v>
      </x:c>
      <x:c r="B24" s="16" t="str">
        <x:v>Engro Urea - 50 kg bag</x:v>
      </x:c>
      <x:c r="C24" s="39" t="n">
        <x:v>765000</x:v>
      </x:c>
      <x:c r="D24" s="39" t="n">
        <x:f>C24*0.05</x:f>
        <x:v>38250</x:v>
      </x:c>
      <x:c r="E24" s="39" t="n">
        <x:v>757000</x:v>
      </x:c>
      <x:c r="F24" s="39" t="n">
        <x:v>3530</x:v>
      </x:c>
      <x:c r="G24" s="39" t="n">
        <x:v>0</x:v>
      </x:c>
      <x:c r="H24" s="40" t="n">
        <x:v>0</x:v>
      </x:c>
      <x:c r="I24" s="16" t="n">
        <x:v>0</x:v>
      </x:c>
      <x:c r="J24" s="16" t="str">
        <x:v>Normal / shoulder period</x:v>
      </x:c>
      <x:c r="K24" s="39" t="n">
        <x:v>975</x:v>
      </x:c>
      <x:c r="L24" s="16" t="n">
        <x:v>0</x:v>
      </x:c>
      <x:c r="M24" s="16" t="str"/>
      <x:c r="N24" s="16" t="str">
        <x:v>Train</x:v>
      </x:c>
    </x:row>
    <x:row r="25">
      <x:c r="A25" s="38" t="n">
        <x:v>45075</x:v>
      </x:c>
      <x:c r="B25" s="16" t="str">
        <x:v>Engro Urea - 50 kg bag</x:v>
      </x:c>
      <x:c r="C25" s="39" t="n">
        <x:v>819000</x:v>
      </x:c>
      <x:c r="D25" s="39" t="n">
        <x:f>C25*0.05</x:f>
        <x:v>40950</x:v>
      </x:c>
      <x:c r="E25" s="39" t="n">
        <x:v>769000</x:v>
      </x:c>
      <x:c r="F25" s="39" t="n">
        <x:v>3530</x:v>
      </x:c>
      <x:c r="G25" s="39" t="n">
        <x:v>1</x:v>
      </x:c>
      <x:c r="H25" s="40" t="n">
        <x:v>0.04</x:v>
      </x:c>
      <x:c r="I25" s="16" t="n">
        <x:v>0</x:v>
      </x:c>
      <x:c r="J25" s="16" t="str">
        <x:v>Normal / shoulder period</x:v>
      </x:c>
      <x:c r="K25" s="39" t="n">
        <x:v>970</x:v>
      </x:c>
      <x:c r="L25" s="16" t="n">
        <x:v>0</x:v>
      </x:c>
      <x:c r="M25" s="16" t="str"/>
      <x:c r="N25" s="16" t="str">
        <x:v>Train</x:v>
      </x:c>
    </x:row>
    <x:row r="26">
      <x:c r="A26" s="38" t="n">
        <x:v>45082</x:v>
      </x:c>
      <x:c r="B26" s="16" t="str">
        <x:v>Engro Urea - 50 kg bag</x:v>
      </x:c>
      <x:c r="C26" s="39" t="n">
        <x:v>1192000</x:v>
      </x:c>
      <x:c r="D26" s="39" t="n">
        <x:f>C26*0.05</x:f>
        <x:v>59600</x:v>
      </x:c>
      <x:c r="E26" s="39" t="n">
        <x:v>873000</x:v>
      </x:c>
      <x:c r="F26" s="39" t="n">
        <x:v>3530</x:v>
      </x:c>
      <x:c r="G26" s="39" t="n">
        <x:v>1</x:v>
      </x:c>
      <x:c r="H26" s="40" t="n">
        <x:v>0.05</x:v>
      </x:c>
      <x:c r="I26" s="16" t="n">
        <x:v>1</x:v>
      </x:c>
      <x:c r="J26" s="16" t="str">
        <x:v>Kharif demand window</x:v>
      </x:c>
      <x:c r="K26" s="39" t="n">
        <x:v>994</x:v>
      </x:c>
      <x:c r="L26" s="16" t="n">
        <x:v>0</x:v>
      </x:c>
      <x:c r="M26" s="16" t="str"/>
      <x:c r="N26" s="16" t="str">
        <x:v>Train</x:v>
      </x:c>
    </x:row>
    <x:row r="27">
      <x:c r="A27" s="38" t="n">
        <x:v>45089</x:v>
      </x:c>
      <x:c r="B27" s="16" t="str">
        <x:v>Engro Urea - 50 kg bag</x:v>
      </x:c>
      <x:c r="C27" s="39" t="n">
        <x:v>1047000</x:v>
      </x:c>
      <x:c r="D27" s="39" t="n">
        <x:f>C27*0.05</x:f>
        <x:v>52350</x:v>
      </x:c>
      <x:c r="E27" s="39" t="n">
        <x:v>1214000</x:v>
      </x:c>
      <x:c r="F27" s="39" t="n">
        <x:v>3510</x:v>
      </x:c>
      <x:c r="G27" s="39" t="n">
        <x:v>0</x:v>
      </x:c>
      <x:c r="H27" s="40" t="n">
        <x:v>0</x:v>
      </x:c>
      <x:c r="I27" s="16" t="n">
        <x:v>1</x:v>
      </x:c>
      <x:c r="J27" s="16" t="str">
        <x:v>Kharif demand window</x:v>
      </x:c>
      <x:c r="K27" s="39" t="n">
        <x:v>984</x:v>
      </x:c>
      <x:c r="L27" s="16" t="n">
        <x:v>0</x:v>
      </x:c>
      <x:c r="M27" s="16" t="str">
        <x:v>Dealer ordering surge ahead of Kharif application window</x:v>
      </x:c>
      <x:c r="N27" s="16" t="str">
        <x:v>Train</x:v>
      </x:c>
    </x:row>
    <x:row r="28">
      <x:c r="A28" s="38" t="n">
        <x:v>45096</x:v>
      </x:c>
      <x:c r="B28" s="16" t="str">
        <x:v>Engro Urea - 50 kg bag</x:v>
      </x:c>
      <x:c r="C28" s="39" t="n">
        <x:v>1087000</x:v>
      </x:c>
      <x:c r="D28" s="39" t="n">
        <x:f>C28*0.05</x:f>
        <x:v>54350</x:v>
      </x:c>
      <x:c r="E28" s="39" t="n">
        <x:v>1101000</x:v>
      </x:c>
      <x:c r="F28" s="39" t="n">
        <x:v>3510</x:v>
      </x:c>
      <x:c r="G28" s="39" t="n">
        <x:v>1</x:v>
      </x:c>
      <x:c r="H28" s="40" t="n">
        <x:v>0.05</x:v>
      </x:c>
      <x:c r="I28" s="16" t="n">
        <x:v>1</x:v>
      </x:c>
      <x:c r="J28" s="16" t="str">
        <x:v>Kharif demand window</x:v>
      </x:c>
      <x:c r="K28" s="39" t="n">
        <x:v>983</x:v>
      </x:c>
      <x:c r="L28" s="16" t="n">
        <x:v>0</x:v>
      </x:c>
      <x:c r="M28" s="16" t="str">
        <x:v>Dealer ordering surge ahead of Kharif application window</x:v>
      </x:c>
      <x:c r="N28" s="16" t="str">
        <x:v>Train</x:v>
      </x:c>
    </x:row>
    <x:row r="29">
      <x:c r="A29" s="38" t="n">
        <x:v>45103</x:v>
      </x:c>
      <x:c r="B29" s="16" t="str">
        <x:v>Engro Urea - 50 kg bag</x:v>
      </x:c>
      <x:c r="C29" s="39" t="n">
        <x:v>937000</x:v>
      </x:c>
      <x:c r="D29" s="39" t="n">
        <x:f>C29*0.05</x:f>
        <x:v>46850</x:v>
      </x:c>
      <x:c r="E29" s="39" t="n">
        <x:v>1107000</x:v>
      </x:c>
      <x:c r="F29" s="39" t="n">
        <x:v>3530</x:v>
      </x:c>
      <x:c r="G29" s="39" t="n">
        <x:v>0</x:v>
      </x:c>
      <x:c r="H29" s="40" t="n">
        <x:v>0</x:v>
      </x:c>
      <x:c r="I29" s="16" t="n">
        <x:v>1</x:v>
      </x:c>
      <x:c r="J29" s="16" t="str">
        <x:v>Kharif demand window</x:v>
      </x:c>
      <x:c r="K29" s="39" t="n">
        <x:v>967</x:v>
      </x:c>
      <x:c r="L29" s="16" t="n">
        <x:v>0</x:v>
      </x:c>
      <x:c r="M29" s="16" t="str"/>
      <x:c r="N29" s="16" t="str">
        <x:v>Train</x:v>
      </x:c>
    </x:row>
    <x:row r="30">
      <x:c r="A30" s="38" t="n">
        <x:v>45110</x:v>
      </x:c>
      <x:c r="B30" s="16" t="str">
        <x:v>Engro Urea - 50 kg bag</x:v>
      </x:c>
      <x:c r="C30" s="39" t="n">
        <x:v>1078000</x:v>
      </x:c>
      <x:c r="D30" s="39" t="n">
        <x:f>C30*0.05</x:f>
        <x:v>53900</x:v>
      </x:c>
      <x:c r="E30" s="39" t="n">
        <x:v>976000</x:v>
      </x:c>
      <x:c r="F30" s="39" t="n">
        <x:v>3450</x:v>
      </x:c>
      <x:c r="G30" s="39" t="n">
        <x:v>1</x:v>
      </x:c>
      <x:c r="H30" s="40" t="n">
        <x:v>0.03</x:v>
      </x:c>
      <x:c r="I30" s="16" t="n">
        <x:v>1</x:v>
      </x:c>
      <x:c r="J30" s="16" t="str">
        <x:v>Kharif demand window</x:v>
      </x:c>
      <x:c r="K30" s="39" t="n">
        <x:v>962</x:v>
      </x:c>
      <x:c r="L30" s="16" t="n">
        <x:v>0</x:v>
      </x:c>
      <x:c r="M30" s="16" t="str"/>
      <x:c r="N30" s="16" t="str">
        <x:v>Train</x:v>
      </x:c>
    </x:row>
    <x:row r="31">
      <x:c r="A31" s="38" t="n">
        <x:v>45117</x:v>
      </x:c>
      <x:c r="B31" s="16" t="str">
        <x:v>Engro Urea - 50 kg bag</x:v>
      </x:c>
      <x:c r="C31" s="39" t="n">
        <x:v>1017000</x:v>
      </x:c>
      <x:c r="D31" s="39" t="n">
        <x:f>C31*0.05</x:f>
        <x:v>50850</x:v>
      </x:c>
      <x:c r="E31" s="39" t="n">
        <x:v>1129000</x:v>
      </x:c>
      <x:c r="F31" s="39" t="n">
        <x:v>3410</x:v>
      </x:c>
      <x:c r="G31" s="39" t="n">
        <x:v>0</x:v>
      </x:c>
      <x:c r="H31" s="40" t="n">
        <x:v>0</x:v>
      </x:c>
      <x:c r="I31" s="16" t="n">
        <x:v>1</x:v>
      </x:c>
      <x:c r="J31" s="16" t="str">
        <x:v>Kharif demand window</x:v>
      </x:c>
      <x:c r="K31" s="39" t="n">
        <x:v>967</x:v>
      </x:c>
      <x:c r="L31" s="16" t="n">
        <x:v>0</x:v>
      </x:c>
      <x:c r="M31" s="16" t="str"/>
      <x:c r="N31" s="16" t="str">
        <x:v>Train</x:v>
      </x:c>
    </x:row>
    <x:row r="32">
      <x:c r="A32" s="38" t="n">
        <x:v>45124</x:v>
      </x:c>
      <x:c r="B32" s="16" t="str">
        <x:v>Engro Urea - 50 kg bag</x:v>
      </x:c>
      <x:c r="C32" s="39" t="n">
        <x:v>1050000</x:v>
      </x:c>
      <x:c r="D32" s="39" t="n">
        <x:f>C32*0.05</x:f>
        <x:v>52500</x:v>
      </x:c>
      <x:c r="E32" s="39" t="n">
        <x:v>1056000</x:v>
      </x:c>
      <x:c r="F32" s="39" t="n">
        <x:v>3430</x:v>
      </x:c>
      <x:c r="G32" s="39" t="n">
        <x:v>0</x:v>
      </x:c>
      <x:c r="H32" s="40" t="n">
        <x:v>0</x:v>
      </x:c>
      <x:c r="I32" s="16" t="n">
        <x:v>1</x:v>
      </x:c>
      <x:c r="J32" s="16" t="str">
        <x:v>Kharif demand window</x:v>
      </x:c>
      <x:c r="K32" s="39" t="n">
        <x:v>970</x:v>
      </x:c>
      <x:c r="L32" s="16" t="n">
        <x:v>0</x:v>
      </x:c>
      <x:c r="M32" s="16" t="str"/>
      <x:c r="N32" s="16" t="str">
        <x:v>Train</x:v>
      </x:c>
    </x:row>
    <x:row r="33">
      <x:c r="A33" s="38" t="n">
        <x:v>45131</x:v>
      </x:c>
      <x:c r="B33" s="16" t="str">
        <x:v>Engro Urea - 50 kg bag</x:v>
      </x:c>
      <x:c r="C33" s="39" t="n">
        <x:v>937000</x:v>
      </x:c>
      <x:c r="D33" s="39" t="n">
        <x:f>C33*0.05</x:f>
        <x:v>46850</x:v>
      </x:c>
      <x:c r="E33" s="39" t="n">
        <x:v>1141000</x:v>
      </x:c>
      <x:c r="F33" s="39" t="n">
        <x:v>3370</x:v>
      </x:c>
      <x:c r="G33" s="39" t="n">
        <x:v>0</x:v>
      </x:c>
      <x:c r="H33" s="40" t="n">
        <x:v>0</x:v>
      </x:c>
      <x:c r="I33" s="16" t="n">
        <x:v>1</x:v>
      </x:c>
      <x:c r="J33" s="16" t="str">
        <x:v>Kharif demand window</x:v>
      </x:c>
      <x:c r="K33" s="39" t="n">
        <x:v>969</x:v>
      </x:c>
      <x:c r="L33" s="16" t="n">
        <x:v>0</x:v>
      </x:c>
      <x:c r="M33" s="16" t="str"/>
      <x:c r="N33" s="16" t="str">
        <x:v>Train</x:v>
      </x:c>
    </x:row>
    <x:row r="34">
      <x:c r="A34" s="38" t="n">
        <x:v>45138</x:v>
      </x:c>
      <x:c r="B34" s="16" t="str">
        <x:v>Engro Urea - 50 kg bag</x:v>
      </x:c>
      <x:c r="C34" s="39" t="n">
        <x:v>953000</x:v>
      </x:c>
      <x:c r="D34" s="39" t="n">
        <x:f>C34*0.05</x:f>
        <x:v>47650</x:v>
      </x:c>
      <x:c r="E34" s="39" t="n">
        <x:v>977000</x:v>
      </x:c>
      <x:c r="F34" s="39" t="n">
        <x:v>3410</x:v>
      </x:c>
      <x:c r="G34" s="39" t="n">
        <x:v>0</x:v>
      </x:c>
      <x:c r="H34" s="40" t="n">
        <x:v>0</x:v>
      </x:c>
      <x:c r="I34" s="16" t="n">
        <x:v>1</x:v>
      </x:c>
      <x:c r="J34" s="16" t="str">
        <x:v>Kharif demand window</x:v>
      </x:c>
      <x:c r="K34" s="39" t="n">
        <x:v>971</x:v>
      </x:c>
      <x:c r="L34" s="16" t="n">
        <x:v>0</x:v>
      </x:c>
      <x:c r="M34" s="16" t="str"/>
      <x:c r="N34" s="16" t="str">
        <x:v>Train</x:v>
      </x:c>
    </x:row>
    <x:row r="35">
      <x:c r="A35" s="38" t="n">
        <x:v>45145</x:v>
      </x:c>
      <x:c r="B35" s="16" t="str">
        <x:v>Engro Urea - 50 kg bag</x:v>
      </x:c>
      <x:c r="C35" s="39" t="n">
        <x:v>869000</x:v>
      </x:c>
      <x:c r="D35" s="39" t="n">
        <x:f>C35*0.05</x:f>
        <x:v>43450</x:v>
      </x:c>
      <x:c r="E35" s="39" t="n">
        <x:v>1018000</x:v>
      </x:c>
      <x:c r="F35" s="39" t="n">
        <x:v>3410</x:v>
      </x:c>
      <x:c r="G35" s="39" t="n">
        <x:v>0</x:v>
      </x:c>
      <x:c r="H35" s="40" t="n">
        <x:v>0</x:v>
      </x:c>
      <x:c r="I35" s="16" t="n">
        <x:v>1</x:v>
      </x:c>
      <x:c r="J35" s="16" t="str">
        <x:v>Kharif demand window</x:v>
      </x:c>
      <x:c r="K35" s="39" t="n">
        <x:v>985</x:v>
      </x:c>
      <x:c r="L35" s="16" t="n">
        <x:v>0</x:v>
      </x:c>
      <x:c r="M35" s="16" t="str"/>
      <x:c r="N35" s="16" t="str">
        <x:v>Train</x:v>
      </x:c>
    </x:row>
    <x:row r="36">
      <x:c r="A36" s="38" t="n">
        <x:v>45152</x:v>
      </x:c>
      <x:c r="B36" s="16" t="str">
        <x:v>Engro Urea - 50 kg bag</x:v>
      </x:c>
      <x:c r="C36" s="39" t="n">
        <x:v>1016000</x:v>
      </x:c>
      <x:c r="D36" s="39" t="n">
        <x:f>C36*0.05</x:f>
        <x:v>50800</x:v>
      </x:c>
      <x:c r="E36" s="39" t="n">
        <x:v>883000</x:v>
      </x:c>
      <x:c r="F36" s="39" t="n">
        <x:v>3410</x:v>
      </x:c>
      <x:c r="G36" s="39" t="n">
        <x:v>0</x:v>
      </x:c>
      <x:c r="H36" s="40" t="n">
        <x:v>0</x:v>
      </x:c>
      <x:c r="I36" s="16" t="n">
        <x:v>1</x:v>
      </x:c>
      <x:c r="J36" s="16" t="str">
        <x:v>Kharif demand window</x:v>
      </x:c>
      <x:c r="K36" s="39" t="n">
        <x:v>998</x:v>
      </x:c>
      <x:c r="L36" s="16" t="n">
        <x:v>0</x:v>
      </x:c>
      <x:c r="M36" s="16" t="str"/>
      <x:c r="N36" s="16" t="str">
        <x:v>Train</x:v>
      </x:c>
    </x:row>
    <x:row r="37">
      <x:c r="A37" s="38" t="n">
        <x:v>45159</x:v>
      </x:c>
      <x:c r="B37" s="16" t="str">
        <x:v>Engro Urea - 50 kg bag</x:v>
      </x:c>
      <x:c r="C37" s="39" t="n">
        <x:v>946000</x:v>
      </x:c>
      <x:c r="D37" s="39" t="n">
        <x:f>C37*0.05</x:f>
        <x:v>47300</x:v>
      </x:c>
      <x:c r="E37" s="39" t="n">
        <x:v>1024000</x:v>
      </x:c>
      <x:c r="F37" s="39" t="n">
        <x:v>3370</x:v>
      </x:c>
      <x:c r="G37" s="39" t="n">
        <x:v>0</x:v>
      </x:c>
      <x:c r="H37" s="40" t="n">
        <x:v>0</x:v>
      </x:c>
      <x:c r="I37" s="16" t="n">
        <x:v>1</x:v>
      </x:c>
      <x:c r="J37" s="16" t="str">
        <x:v>Kharif demand window</x:v>
      </x:c>
      <x:c r="K37" s="39" t="n">
        <x:v>987</x:v>
      </x:c>
      <x:c r="L37" s="16" t="n">
        <x:v>0</x:v>
      </x:c>
      <x:c r="M37" s="16" t="str"/>
      <x:c r="N37" s="16" t="str">
        <x:v>Train</x:v>
      </x:c>
    </x:row>
    <x:row r="38">
      <x:c r="A38" s="38" t="n">
        <x:v>45166</x:v>
      </x:c>
      <x:c r="B38" s="16" t="str">
        <x:v>Engro Urea - 50 kg bag</x:v>
      </x:c>
      <x:c r="C38" s="39" t="n">
        <x:v>906000</x:v>
      </x:c>
      <x:c r="D38" s="39" t="n">
        <x:f>C38*0.05</x:f>
        <x:v>45300</x:v>
      </x:c>
      <x:c r="E38" s="39" t="n">
        <x:v>972000</x:v>
      </x:c>
      <x:c r="F38" s="39" t="n">
        <x:v>3370</x:v>
      </x:c>
      <x:c r="G38" s="39" t="n">
        <x:v>0</x:v>
      </x:c>
      <x:c r="H38" s="40" t="n">
        <x:v>0</x:v>
      </x:c>
      <x:c r="I38" s="16" t="n">
        <x:v>1</x:v>
      </x:c>
      <x:c r="J38" s="16" t="str">
        <x:v>Kharif demand window</x:v>
      </x:c>
      <x:c r="K38" s="39" t="n">
        <x:v>985</x:v>
      </x:c>
      <x:c r="L38" s="16" t="n">
        <x:v>0</x:v>
      </x:c>
      <x:c r="M38" s="16" t="str"/>
      <x:c r="N38" s="16" t="str">
        <x:v>Train</x:v>
      </x:c>
    </x:row>
    <x:row r="39">
      <x:c r="A39" s="38" t="n">
        <x:v>45173</x:v>
      </x:c>
      <x:c r="B39" s="16" t="str">
        <x:v>Engro Urea - 50 kg bag</x:v>
      </x:c>
      <x:c r="C39" s="39" t="n">
        <x:v>827000</x:v>
      </x:c>
      <x:c r="D39" s="39" t="n">
        <x:f>C39*0.05</x:f>
        <x:v>41350</x:v>
      </x:c>
      <x:c r="E39" s="39" t="n">
        <x:v>856000</x:v>
      </x:c>
      <x:c r="F39" s="39" t="n">
        <x:v>3430</x:v>
      </x:c>
      <x:c r="G39" s="39" t="n">
        <x:v>0</x:v>
      </x:c>
      <x:c r="H39" s="40" t="n">
        <x:v>0</x:v>
      </x:c>
      <x:c r="I39" s="16" t="n">
        <x:v>0</x:v>
      </x:c>
      <x:c r="J39" s="16" t="str">
        <x:v>Kharif demand window</x:v>
      </x:c>
      <x:c r="K39" s="39" t="n">
        <x:v>973</x:v>
      </x:c>
      <x:c r="L39" s="16" t="n">
        <x:v>0</x:v>
      </x:c>
      <x:c r="M39" s="16" t="str"/>
      <x:c r="N39" s="16" t="str">
        <x:v>Train</x:v>
      </x:c>
    </x:row>
    <x:row r="40">
      <x:c r="A40" s="38" t="n">
        <x:v>45180</x:v>
      </x:c>
      <x:c r="B40" s="16" t="str">
        <x:v>Engro Urea - 50 kg bag</x:v>
      </x:c>
      <x:c r="C40" s="39" t="n">
        <x:v>832000</x:v>
      </x:c>
      <x:c r="D40" s="39" t="n">
        <x:f>C40*0.05</x:f>
        <x:v>41600</x:v>
      </x:c>
      <x:c r="E40" s="39" t="n">
        <x:v>792000</x:v>
      </x:c>
      <x:c r="F40" s="39" t="n">
        <x:v>3410</x:v>
      </x:c>
      <x:c r="G40" s="39" t="n">
        <x:v>1</x:v>
      </x:c>
      <x:c r="H40" s="40" t="n">
        <x:v>0.04</x:v>
      </x:c>
      <x:c r="I40" s="16" t="n">
        <x:v>0</x:v>
      </x:c>
      <x:c r="J40" s="16" t="str">
        <x:v>Kharif demand window</x:v>
      </x:c>
      <x:c r="K40" s="39" t="n">
        <x:v>974</x:v>
      </x:c>
      <x:c r="L40" s="16" t="n">
        <x:v>0</x:v>
      </x:c>
      <x:c r="M40" s="16" t="str"/>
      <x:c r="N40" s="16" t="str">
        <x:v>Train</x:v>
      </x:c>
    </x:row>
    <x:row r="41">
      <x:c r="A41" s="38" t="n">
        <x:v>45187</x:v>
      </x:c>
      <x:c r="B41" s="16" t="str">
        <x:v>Engro Urea - 50 kg bag</x:v>
      </x:c>
      <x:c r="C41" s="39" t="n">
        <x:v>778000</x:v>
      </x:c>
      <x:c r="D41" s="39" t="n">
        <x:f>C41*0.05</x:f>
        <x:v>38900</x:v>
      </x:c>
      <x:c r="E41" s="39" t="n">
        <x:v>835000</x:v>
      </x:c>
      <x:c r="F41" s="39" t="n">
        <x:v>3410</x:v>
      </x:c>
      <x:c r="G41" s="39" t="n">
        <x:v>0</x:v>
      </x:c>
      <x:c r="H41" s="40" t="n">
        <x:v>0</x:v>
      </x:c>
      <x:c r="I41" s="16" t="n">
        <x:v>0</x:v>
      </x:c>
      <x:c r="J41" s="16" t="str">
        <x:v>Kharif demand window</x:v>
      </x:c>
      <x:c r="K41" s="39" t="n">
        <x:v>977</x:v>
      </x:c>
      <x:c r="L41" s="16" t="n">
        <x:v>0</x:v>
      </x:c>
      <x:c r="M41" s="16" t="str"/>
      <x:c r="N41" s="16" t="str">
        <x:v>Train</x:v>
      </x:c>
    </x:row>
    <x:row r="42">
      <x:c r="A42" s="38" t="n">
        <x:v>45194</x:v>
      </x:c>
      <x:c r="B42" s="16" t="str">
        <x:v>Engro Urea - 50 kg bag</x:v>
      </x:c>
      <x:c r="C42" s="39" t="n">
        <x:v>721000</x:v>
      </x:c>
      <x:c r="D42" s="39" t="n">
        <x:f>C42*0.05</x:f>
        <x:v>36050</x:v>
      </x:c>
      <x:c r="E42" s="39" t="n">
        <x:v>752000</x:v>
      </x:c>
      <x:c r="F42" s="39" t="n">
        <x:v>3410</x:v>
      </x:c>
      <x:c r="G42" s="39" t="n">
        <x:v>0</x:v>
      </x:c>
      <x:c r="H42" s="40" t="n">
        <x:v>0</x:v>
      </x:c>
      <x:c r="I42" s="16" t="n">
        <x:v>0</x:v>
      </x:c>
      <x:c r="J42" s="16" t="str">
        <x:v>Kharif demand window</x:v>
      </x:c>
      <x:c r="K42" s="39" t="n">
        <x:v>976</x:v>
      </x:c>
      <x:c r="L42" s="16" t="n">
        <x:v>0</x:v>
      </x:c>
      <x:c r="M42" s="16" t="str"/>
      <x:c r="N42" s="16" t="str">
        <x:v>Train</x:v>
      </x:c>
    </x:row>
    <x:row r="43">
      <x:c r="A43" s="38" t="n">
        <x:v>45201</x:v>
      </x:c>
      <x:c r="B43" s="16" t="str">
        <x:v>Engro Urea - 50 kg bag</x:v>
      </x:c>
      <x:c r="C43" s="39" t="n">
        <x:v>672000</x:v>
      </x:c>
      <x:c r="D43" s="39" t="n">
        <x:f>C43*0.05</x:f>
        <x:v>33600</x:v>
      </x:c>
      <x:c r="E43" s="39" t="n">
        <x:v>710000</x:v>
      </x:c>
      <x:c r="F43" s="39" t="n">
        <x:v>3490</x:v>
      </x:c>
      <x:c r="G43" s="39" t="n">
        <x:v>0</x:v>
      </x:c>
      <x:c r="H43" s="40" t="n">
        <x:v>0</x:v>
      </x:c>
      <x:c r="I43" s="16" t="n">
        <x:v>0</x:v>
      </x:c>
      <x:c r="J43" s="16" t="str">
        <x:v>Normal / shoulder period</x:v>
      </x:c>
      <x:c r="K43" s="39" t="n">
        <x:v>996</x:v>
      </x:c>
      <x:c r="L43" s="16" t="n">
        <x:v>0</x:v>
      </x:c>
      <x:c r="M43" s="16" t="str"/>
      <x:c r="N43" s="16" t="str">
        <x:v>Train</x:v>
      </x:c>
    </x:row>
    <x:row r="44">
      <x:c r="A44" s="38" t="n">
        <x:v>45208</x:v>
      </x:c>
      <x:c r="B44" s="16" t="str">
        <x:v>Engro Urea - 50 kg bag</x:v>
      </x:c>
      <x:c r="C44" s="39" t="n">
        <x:v>771000</x:v>
      </x:c>
      <x:c r="D44" s="39" t="n">
        <x:f>C44*0.05</x:f>
        <x:v>38550</x:v>
      </x:c>
      <x:c r="E44" s="39" t="n">
        <x:v>644000</x:v>
      </x:c>
      <x:c r="F44" s="39" t="n">
        <x:v>3510</x:v>
      </x:c>
      <x:c r="G44" s="39" t="n">
        <x:v>0</x:v>
      </x:c>
      <x:c r="H44" s="40" t="n">
        <x:v>0</x:v>
      </x:c>
      <x:c r="I44" s="16" t="n">
        <x:v>0</x:v>
      </x:c>
      <x:c r="J44" s="16" t="str">
        <x:v>Normal / shoulder period</x:v>
      </x:c>
      <x:c r="K44" s="39" t="n">
        <x:v>980</x:v>
      </x:c>
      <x:c r="L44" s="16" t="n">
        <x:v>0</x:v>
      </x:c>
      <x:c r="M44" s="16" t="str"/>
      <x:c r="N44" s="16" t="str">
        <x:v>Train</x:v>
      </x:c>
    </x:row>
    <x:row r="45">
      <x:c r="A45" s="38" t="n">
        <x:v>45215</x:v>
      </x:c>
      <x:c r="B45" s="16" t="str">
        <x:v>Engro Urea - 50 kg bag</x:v>
      </x:c>
      <x:c r="C45" s="39" t="n">
        <x:v>771000</x:v>
      </x:c>
      <x:c r="D45" s="39" t="n">
        <x:f>C45*0.05</x:f>
        <x:v>38550</x:v>
      </x:c>
      <x:c r="E45" s="39" t="n">
        <x:v>736000</x:v>
      </x:c>
      <x:c r="F45" s="39" t="n">
        <x:v>3490</x:v>
      </x:c>
      <x:c r="G45" s="39" t="n">
        <x:v>0</x:v>
      </x:c>
      <x:c r="H45" s="40" t="n">
        <x:v>0</x:v>
      </x:c>
      <x:c r="I45" s="16" t="n">
        <x:v>0</x:v>
      </x:c>
      <x:c r="J45" s="16" t="str">
        <x:v>Normal / shoulder period</x:v>
      </x:c>
      <x:c r="K45" s="39" t="n">
        <x:v>997</x:v>
      </x:c>
      <x:c r="L45" s="16" t="n">
        <x:v>0</x:v>
      </x:c>
      <x:c r="M45" s="16" t="str"/>
      <x:c r="N45" s="16" t="str">
        <x:v>Train</x:v>
      </x:c>
    </x:row>
    <x:row r="46">
      <x:c r="A46" s="38" t="n">
        <x:v>45222</x:v>
      </x:c>
      <x:c r="B46" s="16" t="str">
        <x:v>Engro Urea - 50 kg bag</x:v>
      </x:c>
      <x:c r="C46" s="39" t="n">
        <x:v>677000</x:v>
      </x:c>
      <x:c r="D46" s="39" t="n">
        <x:f>C46*0.05</x:f>
        <x:v>33850</x:v>
      </x:c>
      <x:c r="E46" s="39" t="n">
        <x:v>733000</x:v>
      </x:c>
      <x:c r="F46" s="39" t="n">
        <x:v>3490</x:v>
      </x:c>
      <x:c r="G46" s="39" t="n">
        <x:v>0</x:v>
      </x:c>
      <x:c r="H46" s="40" t="n">
        <x:v>0</x:v>
      </x:c>
      <x:c r="I46" s="16" t="n">
        <x:v>0</x:v>
      </x:c>
      <x:c r="J46" s="16" t="str">
        <x:v>Normal / shoulder period</x:v>
      </x:c>
      <x:c r="K46" s="39" t="n">
        <x:v>1002</x:v>
      </x:c>
      <x:c r="L46" s="16" t="n">
        <x:v>0</x:v>
      </x:c>
      <x:c r="M46" s="16" t="str"/>
      <x:c r="N46" s="16" t="str">
        <x:v>Train</x:v>
      </x:c>
    </x:row>
    <x:row r="47">
      <x:c r="A47" s="38" t="n">
        <x:v>45229</x:v>
      </x:c>
      <x:c r="B47" s="16" t="str">
        <x:v>Engro Urea - 50 kg bag</x:v>
      </x:c>
      <x:c r="C47" s="39" t="n">
        <x:v>850000</x:v>
      </x:c>
      <x:c r="D47" s="39" t="n">
        <x:f>C47*0.05</x:f>
        <x:v>42500</x:v>
      </x:c>
      <x:c r="E47" s="39" t="n">
        <x:v>631000</x:v>
      </x:c>
      <x:c r="F47" s="39" t="n">
        <x:v>3510</x:v>
      </x:c>
      <x:c r="G47" s="39" t="n">
        <x:v>1</x:v>
      </x:c>
      <x:c r="H47" s="40" t="n">
        <x:v>0.03</x:v>
      </x:c>
      <x:c r="I47" s="16" t="n">
        <x:v>0</x:v>
      </x:c>
      <x:c r="J47" s="16" t="str">
        <x:v>Normal / shoulder period</x:v>
      </x:c>
      <x:c r="K47" s="39" t="n">
        <x:v>994</x:v>
      </x:c>
      <x:c r="L47" s="16" t="n">
        <x:v>0</x:v>
      </x:c>
      <x:c r="M47" s="16" t="str"/>
      <x:c r="N47" s="16" t="str">
        <x:v>Train</x:v>
      </x:c>
    </x:row>
    <x:row r="48">
      <x:c r="A48" s="38" t="n">
        <x:v>45236</x:v>
      </x:c>
      <x:c r="B48" s="16" t="str">
        <x:v>Engro Urea - 50 kg bag</x:v>
      </x:c>
      <x:c r="C48" s="39" t="n">
        <x:v>894000</x:v>
      </x:c>
      <x:c r="D48" s="39" t="n">
        <x:f>C48*0.05</x:f>
        <x:v>44700</x:v>
      </x:c>
      <x:c r="E48" s="39" t="n">
        <x:v>857000</x:v>
      </x:c>
      <x:c r="F48" s="39" t="n">
        <x:v>3510</x:v>
      </x:c>
      <x:c r="G48" s="39" t="n">
        <x:v>0</x:v>
      </x:c>
      <x:c r="H48" s="40" t="n">
        <x:v>0</x:v>
      </x:c>
      <x:c r="I48" s="16" t="n">
        <x:v>1</x:v>
      </x:c>
      <x:c r="J48" s="16" t="str">
        <x:v>Rabi demand window</x:v>
      </x:c>
      <x:c r="K48" s="39" t="n">
        <x:v>989</x:v>
      </x:c>
      <x:c r="L48" s="16" t="n">
        <x:v>0</x:v>
      </x:c>
      <x:c r="M48" s="16" t="str"/>
      <x:c r="N48" s="16" t="str">
        <x:v>Train</x:v>
      </x:c>
    </x:row>
    <x:row r="49">
      <x:c r="A49" s="38" t="n">
        <x:v>45243</x:v>
      </x:c>
      <x:c r="B49" s="16" t="str">
        <x:v>Engro Urea - 50 kg bag</x:v>
      </x:c>
      <x:c r="C49" s="39" t="n">
        <x:v>939000</x:v>
      </x:c>
      <x:c r="D49" s="39" t="n">
        <x:f>C49*0.05</x:f>
        <x:v>46950</x:v>
      </x:c>
      <x:c r="E49" s="39" t="n">
        <x:v>923000</x:v>
      </x:c>
      <x:c r="F49" s="39" t="n">
        <x:v>3470</x:v>
      </x:c>
      <x:c r="G49" s="39" t="n">
        <x:v>0</x:v>
      </x:c>
      <x:c r="H49" s="40" t="n">
        <x:v>0</x:v>
      </x:c>
      <x:c r="I49" s="16" t="n">
        <x:v>1</x:v>
      </x:c>
      <x:c r="J49" s="16" t="str">
        <x:v>Rabi demand window</x:v>
      </x:c>
      <x:c r="K49" s="39" t="n">
        <x:v>991</x:v>
      </x:c>
      <x:c r="L49" s="16" t="n">
        <x:v>0</x:v>
      </x:c>
      <x:c r="M49" s="16" t="str"/>
      <x:c r="N49" s="16" t="str">
        <x:v>Train</x:v>
      </x:c>
    </x:row>
    <x:row r="50">
      <x:c r="A50" s="38" t="n">
        <x:v>45250</x:v>
      </x:c>
      <x:c r="B50" s="16" t="str">
        <x:v>Engro Urea - 50 kg bag</x:v>
      </x:c>
      <x:c r="C50" s="39" t="n">
        <x:v>933000</x:v>
      </x:c>
      <x:c r="D50" s="39" t="n">
        <x:f>C50*0.05</x:f>
        <x:v>46650</x:v>
      </x:c>
      <x:c r="E50" s="39" t="n">
        <x:v>957000</x:v>
      </x:c>
      <x:c r="F50" s="39" t="n">
        <x:v>3490</x:v>
      </x:c>
      <x:c r="G50" s="39" t="n">
        <x:v>0</x:v>
      </x:c>
      <x:c r="H50" s="40" t="n">
        <x:v>0</x:v>
      </x:c>
      <x:c r="I50" s="16" t="n">
        <x:v>1</x:v>
      </x:c>
      <x:c r="J50" s="16" t="str">
        <x:v>Rabi demand window</x:v>
      </x:c>
      <x:c r="K50" s="39" t="n">
        <x:v>995</x:v>
      </x:c>
      <x:c r="L50" s="16" t="n">
        <x:v>0</x:v>
      </x:c>
      <x:c r="M50" s="16" t="str"/>
      <x:c r="N50" s="16" t="str">
        <x:v>Train</x:v>
      </x:c>
    </x:row>
    <x:row r="51">
      <x:c r="A51" s="38" t="n">
        <x:v>45257</x:v>
      </x:c>
      <x:c r="B51" s="16" t="str">
        <x:v>Engro Urea - 50 kg bag</x:v>
      </x:c>
      <x:c r="C51" s="39" t="n">
        <x:v>857000</x:v>
      </x:c>
      <x:c r="D51" s="39" t="n">
        <x:f>C51*0.05</x:f>
        <x:v>42850</x:v>
      </x:c>
      <x:c r="E51" s="39" t="n">
        <x:v>950000</x:v>
      </x:c>
      <x:c r="F51" s="39" t="n">
        <x:v>3490</x:v>
      </x:c>
      <x:c r="G51" s="39" t="n">
        <x:v>0</x:v>
      </x:c>
      <x:c r="H51" s="40" t="n">
        <x:v>0</x:v>
      </x:c>
      <x:c r="I51" s="16" t="n">
        <x:v>1</x:v>
      </x:c>
      <x:c r="J51" s="16" t="str">
        <x:v>Rabi demand window</x:v>
      </x:c>
      <x:c r="K51" s="39" t="n">
        <x:v>1002</x:v>
      </x:c>
      <x:c r="L51" s="16" t="n">
        <x:v>0</x:v>
      </x:c>
      <x:c r="M51" s="16" t="str"/>
      <x:c r="N51" s="16" t="str">
        <x:v>Train</x:v>
      </x:c>
    </x:row>
    <x:row r="52">
      <x:c r="A52" s="38" t="n">
        <x:v>45264</x:v>
      </x:c>
      <x:c r="B52" s="16" t="str">
        <x:v>Engro Urea - 50 kg bag</x:v>
      </x:c>
      <x:c r="C52" s="39" t="n">
        <x:v>983000</x:v>
      </x:c>
      <x:c r="D52" s="39" t="n">
        <x:f>C52*0.05</x:f>
        <x:v>49150</x:v>
      </x:c>
      <x:c r="E52" s="39" t="n">
        <x:v>903000</x:v>
      </x:c>
      <x:c r="F52" s="39" t="n">
        <x:v>3530</x:v>
      </x:c>
      <x:c r="G52" s="39" t="n">
        <x:v>0</x:v>
      </x:c>
      <x:c r="H52" s="40" t="n">
        <x:v>0</x:v>
      </x:c>
      <x:c r="I52" s="16" t="n">
        <x:v>1</x:v>
      </x:c>
      <x:c r="J52" s="16" t="str">
        <x:v>Rabi demand window</x:v>
      </x:c>
      <x:c r="K52" s="39" t="n">
        <x:v>987</x:v>
      </x:c>
      <x:c r="L52" s="16" t="n">
        <x:v>0</x:v>
      </x:c>
      <x:c r="M52" s="16" t="str"/>
      <x:c r="N52" s="16" t="str">
        <x:v>Train</x:v>
      </x:c>
    </x:row>
    <x:row r="53">
      <x:c r="A53" s="38" t="n">
        <x:v>45271</x:v>
      </x:c>
      <x:c r="B53" s="16" t="str">
        <x:v>Engro Urea - 50 kg bag</x:v>
      </x:c>
      <x:c r="C53" s="39" t="n">
        <x:v>1027000</x:v>
      </x:c>
      <x:c r="D53" s="39" t="n">
        <x:f>C53*0.05</x:f>
        <x:v>51350</x:v>
      </x:c>
      <x:c r="E53" s="39" t="n">
        <x:v>1020000</x:v>
      </x:c>
      <x:c r="F53" s="39" t="n">
        <x:v>3470</x:v>
      </x:c>
      <x:c r="G53" s="39" t="n">
        <x:v>0</x:v>
      </x:c>
      <x:c r="H53" s="40" t="n">
        <x:v>0</x:v>
      </x:c>
      <x:c r="I53" s="16" t="n">
        <x:v>1</x:v>
      </x:c>
      <x:c r="J53" s="16" t="str">
        <x:v>Rabi demand window</x:v>
      </x:c>
      <x:c r="K53" s="39" t="n">
        <x:v>1006</x:v>
      </x:c>
      <x:c r="L53" s="16" t="n">
        <x:v>0</x:v>
      </x:c>
      <x:c r="M53" s="16" t="str"/>
      <x:c r="N53" s="16" t="str">
        <x:v>Train</x:v>
      </x:c>
    </x:row>
    <x:row r="54">
      <x:c r="A54" s="38" t="n">
        <x:v>45278</x:v>
      </x:c>
      <x:c r="B54" s="16" t="str">
        <x:v>Engro Urea - 50 kg bag</x:v>
      </x:c>
      <x:c r="C54" s="39" t="n">
        <x:v>886000</x:v>
      </x:c>
      <x:c r="D54" s="39" t="n">
        <x:f>C54*0.05</x:f>
        <x:v>44300</x:v>
      </x:c>
      <x:c r="E54" s="39" t="n">
        <x:v>1092000</x:v>
      </x:c>
      <x:c r="F54" s="39" t="n">
        <x:v>3530</x:v>
      </x:c>
      <x:c r="G54" s="39" t="n">
        <x:v>0</x:v>
      </x:c>
      <x:c r="H54" s="40" t="n">
        <x:v>0</x:v>
      </x:c>
      <x:c r="I54" s="16" t="n">
        <x:v>1</x:v>
      </x:c>
      <x:c r="J54" s="16" t="str">
        <x:v>Rabi demand window</x:v>
      </x:c>
      <x:c r="K54" s="39" t="n">
        <x:v>992</x:v>
      </x:c>
      <x:c r="L54" s="16" t="n">
        <x:v>0</x:v>
      </x:c>
      <x:c r="M54" s="16" t="str"/>
      <x:c r="N54" s="16" t="str">
        <x:v>Train</x:v>
      </x:c>
    </x:row>
    <x:row r="55">
      <x:c r="A55" s="38" t="n">
        <x:v>45285</x:v>
      </x:c>
      <x:c r="B55" s="16" t="str">
        <x:v>Engro Urea - 50 kg bag</x:v>
      </x:c>
      <x:c r="C55" s="39" t="n">
        <x:v>1019000</x:v>
      </x:c>
      <x:c r="D55" s="39" t="n">
        <x:f>C55*0.05</x:f>
        <x:v>50950</x:v>
      </x:c>
      <x:c r="E55" s="39" t="n">
        <x:v>905000</x:v>
      </x:c>
      <x:c r="F55" s="39" t="n">
        <x:v>3470</x:v>
      </x:c>
      <x:c r="G55" s="39" t="n">
        <x:v>0</x:v>
      </x:c>
      <x:c r="H55" s="40" t="n">
        <x:v>0</x:v>
      </x:c>
      <x:c r="I55" s="16" t="n">
        <x:v>1</x:v>
      </x:c>
      <x:c r="J55" s="16" t="str">
        <x:v>Rabi demand window</x:v>
      </x:c>
      <x:c r="K55" s="39" t="n">
        <x:v>1010</x:v>
      </x:c>
      <x:c r="L55" s="16" t="n">
        <x:v>0</x:v>
      </x:c>
      <x:c r="M55" s="16" t="str"/>
      <x:c r="N55" s="16" t="str">
        <x:v>Train</x:v>
      </x:c>
    </x:row>
    <x:row r="56">
      <x:c r="A56" s="38" t="n">
        <x:v>45292</x:v>
      </x:c>
      <x:c r="B56" s="16" t="str">
        <x:v>Engro Urea - 50 kg bag</x:v>
      </x:c>
      <x:c r="C56" s="39" t="n">
        <x:v>904000</x:v>
      </x:c>
      <x:c r="D56" s="39" t="n">
        <x:f>C56*0.05</x:f>
        <x:v>45200</x:v>
      </x:c>
      <x:c r="E56" s="39" t="n">
        <x:v>1059000</x:v>
      </x:c>
      <x:c r="F56" s="39" t="n">
        <x:v>4620</x:v>
      </x:c>
      <x:c r="G56" s="39" t="n">
        <x:v>0</x:v>
      </x:c>
      <x:c r="H56" s="40" t="n">
        <x:v>0</x:v>
      </x:c>
      <x:c r="I56" s="16" t="n">
        <x:v>1</x:v>
      </x:c>
      <x:c r="J56" s="16" t="str">
        <x:v>Rabi demand window</x:v>
      </x:c>
      <x:c r="K56" s="39" t="n">
        <x:v>988</x:v>
      </x:c>
      <x:c r="L56" s="16" t="n">
        <x:v>0</x:v>
      </x:c>
      <x:c r="M56" s="16" t="str"/>
      <x:c r="N56" s="16" t="str">
        <x:v>Train</x:v>
      </x:c>
    </x:row>
    <x:row r="57">
      <x:c r="A57" s="38" t="n">
        <x:v>45299</x:v>
      </x:c>
      <x:c r="B57" s="16" t="str">
        <x:v>Engro Urea - 50 kg bag</x:v>
      </x:c>
      <x:c r="C57" s="39" t="n">
        <x:v>1227000</x:v>
      </x:c>
      <x:c r="D57" s="39" t="n">
        <x:f>C57*0.05</x:f>
        <x:v>61350</x:v>
      </x:c>
      <x:c r="E57" s="39" t="n">
        <x:v>937000</x:v>
      </x:c>
      <x:c r="F57" s="39" t="n">
        <x:v>4620</x:v>
      </x:c>
      <x:c r="G57" s="39" t="n">
        <x:v>1</x:v>
      </x:c>
      <x:c r="H57" s="40" t="n">
        <x:v>0.05</x:v>
      </x:c>
      <x:c r="I57" s="16" t="n">
        <x:v>1</x:v>
      </x:c>
      <x:c r="J57" s="16" t="str">
        <x:v>Rabi demand window</x:v>
      </x:c>
      <x:c r="K57" s="39" t="n">
        <x:v>994</x:v>
      </x:c>
      <x:c r="L57" s="16" t="n">
        <x:v>0</x:v>
      </x:c>
      <x:c r="M57" s="16" t="str"/>
      <x:c r="N57" s="16" t="str">
        <x:v>Train</x:v>
      </x:c>
    </x:row>
    <x:row r="58">
      <x:c r="A58" s="38" t="n">
        <x:v>45306</x:v>
      </x:c>
      <x:c r="B58" s="16" t="str">
        <x:v>Engro Urea - 50 kg bag</x:v>
      </x:c>
      <x:c r="C58" s="39" t="n">
        <x:v>948000</x:v>
      </x:c>
      <x:c r="D58" s="39" t="n">
        <x:f>C58*0.05</x:f>
        <x:v>47400</x:v>
      </x:c>
      <x:c r="E58" s="39" t="n">
        <x:v>1300000</x:v>
      </x:c>
      <x:c r="F58" s="39" t="n">
        <x:v>4620</x:v>
      </x:c>
      <x:c r="G58" s="39" t="n">
        <x:v>0</x:v>
      </x:c>
      <x:c r="H58" s="40" t="n">
        <x:v>0</x:v>
      </x:c>
      <x:c r="I58" s="16" t="n">
        <x:v>1</x:v>
      </x:c>
      <x:c r="J58" s="16" t="str">
        <x:v>Rabi demand window</x:v>
      </x:c>
      <x:c r="K58" s="39" t="n">
        <x:v>995</x:v>
      </x:c>
      <x:c r="L58" s="16" t="n">
        <x:v>0</x:v>
      </x:c>
      <x:c r="M58" s="16" t="str"/>
      <x:c r="N58" s="16" t="str">
        <x:v>Train</x:v>
      </x:c>
    </x:row>
    <x:row r="59">
      <x:c r="A59" s="38" t="n">
        <x:v>45313</x:v>
      </x:c>
      <x:c r="B59" s="16" t="str">
        <x:v>Engro Urea - 50 kg bag</x:v>
      </x:c>
      <x:c r="C59" s="39" t="n">
        <x:v>968000</x:v>
      </x:c>
      <x:c r="D59" s="39" t="n">
        <x:f>C59*0.05</x:f>
        <x:v>48400</x:v>
      </x:c>
      <x:c r="E59" s="39" t="n">
        <x:v>1006000</x:v>
      </x:c>
      <x:c r="F59" s="39" t="n">
        <x:v>4660</x:v>
      </x:c>
      <x:c r="G59" s="39" t="n">
        <x:v>0</x:v>
      </x:c>
      <x:c r="H59" s="40" t="n">
        <x:v>0</x:v>
      </x:c>
      <x:c r="I59" s="16" t="n">
        <x:v>1</x:v>
      </x:c>
      <x:c r="J59" s="16" t="str">
        <x:v>Rabi demand window</x:v>
      </x:c>
      <x:c r="K59" s="39" t="n">
        <x:v>995</x:v>
      </x:c>
      <x:c r="L59" s="16" t="n">
        <x:v>0</x:v>
      </x:c>
      <x:c r="M59" s="16" t="str"/>
      <x:c r="N59" s="16" t="str">
        <x:v>Train</x:v>
      </x:c>
    </x:row>
    <x:row r="60">
      <x:c r="A60" s="38" t="n">
        <x:v>45320</x:v>
      </x:c>
      <x:c r="B60" s="16" t="str">
        <x:v>Engro Urea - 50 kg bag</x:v>
      </x:c>
      <x:c r="C60" s="39" t="n">
        <x:v>928000</x:v>
      </x:c>
      <x:c r="D60" s="39" t="n">
        <x:f>C60*0.05</x:f>
        <x:v>46400</x:v>
      </x:c>
      <x:c r="E60" s="39" t="n">
        <x:v>1030000</x:v>
      </x:c>
      <x:c r="F60" s="39" t="n">
        <x:v>4600</x:v>
      </x:c>
      <x:c r="G60" s="39" t="n">
        <x:v>0</x:v>
      </x:c>
      <x:c r="H60" s="40" t="n">
        <x:v>0</x:v>
      </x:c>
      <x:c r="I60" s="16" t="n">
        <x:v>1</x:v>
      </x:c>
      <x:c r="J60" s="16" t="str">
        <x:v>Rabi demand window</x:v>
      </x:c>
      <x:c r="K60" s="39" t="n">
        <x:v>1003</x:v>
      </x:c>
      <x:c r="L60" s="16" t="n">
        <x:v>0</x:v>
      </x:c>
      <x:c r="M60" s="16" t="str"/>
      <x:c r="N60" s="16" t="str">
        <x:v>Train</x:v>
      </x:c>
    </x:row>
    <x:row r="61">
      <x:c r="A61" s="38" t="n">
        <x:v>45327</x:v>
      </x:c>
      <x:c r="B61" s="16" t="str">
        <x:v>Engro Urea - 50 kg bag</x:v>
      </x:c>
      <x:c r="C61" s="39" t="n">
        <x:v>717000</x:v>
      </x:c>
      <x:c r="D61" s="39" t="n">
        <x:f>C61*0.05</x:f>
        <x:v>35850</x:v>
      </x:c>
      <x:c r="E61" s="39" t="n">
        <x:v>881000</x:v>
      </x:c>
      <x:c r="F61" s="39" t="n">
        <x:v>4600</x:v>
      </x:c>
      <x:c r="G61" s="39" t="n">
        <x:v>0</x:v>
      </x:c>
      <x:c r="H61" s="40" t="n">
        <x:v>0</x:v>
      </x:c>
      <x:c r="I61" s="16" t="n">
        <x:v>0</x:v>
      </x:c>
      <x:c r="J61" s="16" t="str">
        <x:v>Rabi demand window</x:v>
      </x:c>
      <x:c r="K61" s="39" t="n">
        <x:v>996</x:v>
      </x:c>
      <x:c r="L61" s="16" t="n">
        <x:v>0</x:v>
      </x:c>
      <x:c r="M61" s="16" t="str"/>
      <x:c r="N61" s="16" t="str">
        <x:v>Train</x:v>
      </x:c>
    </x:row>
    <x:row r="62">
      <x:c r="A62" s="38" t="n">
        <x:v>45334</x:v>
      </x:c>
      <x:c r="B62" s="16" t="str">
        <x:v>Engro Urea - 50 kg bag</x:v>
      </x:c>
      <x:c r="C62" s="39" t="n">
        <x:v>733000</x:v>
      </x:c>
      <x:c r="D62" s="39" t="n">
        <x:f>C62*0.05</x:f>
        <x:v>36650</x:v>
      </x:c>
      <x:c r="E62" s="39" t="n">
        <x:v>721000</x:v>
      </x:c>
      <x:c r="F62" s="39" t="n">
        <x:v>4580</x:v>
      </x:c>
      <x:c r="G62" s="39" t="n">
        <x:v>0</x:v>
      </x:c>
      <x:c r="H62" s="40" t="n">
        <x:v>0</x:v>
      </x:c>
      <x:c r="I62" s="16" t="n">
        <x:v>0</x:v>
      </x:c>
      <x:c r="J62" s="16" t="str">
        <x:v>Rabi demand window</x:v>
      </x:c>
      <x:c r="K62" s="39" t="n">
        <x:v>1001</x:v>
      </x:c>
      <x:c r="L62" s="16" t="n">
        <x:v>0</x:v>
      </x:c>
      <x:c r="M62" s="16" t="str"/>
      <x:c r="N62" s="16" t="str">
        <x:v>Train</x:v>
      </x:c>
    </x:row>
    <x:row r="63">
      <x:c r="A63" s="38" t="n">
        <x:v>45341</x:v>
      </x:c>
      <x:c r="B63" s="16" t="str">
        <x:v>Engro Urea - 50 kg bag</x:v>
      </x:c>
      <x:c r="C63" s="39" t="n">
        <x:v>779000</x:v>
      </x:c>
      <x:c r="D63" s="39" t="n">
        <x:f>C63*0.05</x:f>
        <x:v>38950</x:v>
      </x:c>
      <x:c r="E63" s="39" t="n">
        <x:v>742000</x:v>
      </x:c>
      <x:c r="F63" s="39" t="n">
        <x:v>4620</x:v>
      </x:c>
      <x:c r="G63" s="39" t="n">
        <x:v>0</x:v>
      </x:c>
      <x:c r="H63" s="40" t="n">
        <x:v>0</x:v>
      </x:c>
      <x:c r="I63" s="16" t="n">
        <x:v>0</x:v>
      </x:c>
      <x:c r="J63" s="16" t="str">
        <x:v>Rabi demand window</x:v>
      </x:c>
      <x:c r="K63" s="39" t="n">
        <x:v>1000</x:v>
      </x:c>
      <x:c r="L63" s="16" t="n">
        <x:v>0</x:v>
      </x:c>
      <x:c r="M63" s="16" t="str"/>
      <x:c r="N63" s="16" t="str">
        <x:v>Train</x:v>
      </x:c>
    </x:row>
    <x:row r="64">
      <x:c r="A64" s="38" t="n">
        <x:v>45348</x:v>
      </x:c>
      <x:c r="B64" s="16" t="str">
        <x:v>Engro Urea - 50 kg bag</x:v>
      </x:c>
      <x:c r="C64" s="39" t="n">
        <x:v>744000</x:v>
      </x:c>
      <x:c r="D64" s="39" t="n">
        <x:f>C64*0.05</x:f>
        <x:v>37200</x:v>
      </x:c>
      <x:c r="E64" s="39" t="n">
        <x:v>757000</x:v>
      </x:c>
      <x:c r="F64" s="39" t="n">
        <x:v>4620</x:v>
      </x:c>
      <x:c r="G64" s="39" t="n">
        <x:v>0</x:v>
      </x:c>
      <x:c r="H64" s="40" t="n">
        <x:v>0</x:v>
      </x:c>
      <x:c r="I64" s="16" t="n">
        <x:v>0</x:v>
      </x:c>
      <x:c r="J64" s="16" t="str">
        <x:v>Rabi demand window</x:v>
      </x:c>
      <x:c r="K64" s="39" t="n">
        <x:v>1000</x:v>
      </x:c>
      <x:c r="L64" s="16" t="n">
        <x:v>0</x:v>
      </x:c>
      <x:c r="M64" s="16" t="str"/>
      <x:c r="N64" s="16" t="str">
        <x:v>Train</x:v>
      </x:c>
    </x:row>
    <x:row r="65">
      <x:c r="A65" s="38" t="n">
        <x:v>45355</x:v>
      </x:c>
      <x:c r="B65" s="16" t="str">
        <x:v>Engro Urea - 50 kg bag</x:v>
      </x:c>
      <x:c r="C65" s="39" t="n">
        <x:v>721000</x:v>
      </x:c>
      <x:c r="D65" s="39" t="n">
        <x:f>C65*0.05</x:f>
        <x:v>36050</x:v>
      </x:c>
      <x:c r="E65" s="39" t="n">
        <x:v>732000</x:v>
      </x:c>
      <x:c r="F65" s="39" t="n">
        <x:v>4620</x:v>
      </x:c>
      <x:c r="G65" s="39" t="n">
        <x:v>0</x:v>
      </x:c>
      <x:c r="H65" s="40" t="n">
        <x:v>0</x:v>
      </x:c>
      <x:c r="I65" s="16" t="n">
        <x:v>0</x:v>
      </x:c>
      <x:c r="J65" s="16" t="str">
        <x:v>Normal / shoulder period</x:v>
      </x:c>
      <x:c r="K65" s="39" t="n">
        <x:v>1007</x:v>
      </x:c>
      <x:c r="L65" s="16" t="n">
        <x:v>0</x:v>
      </x:c>
      <x:c r="M65" s="16" t="str"/>
      <x:c r="N65" s="16" t="str">
        <x:v>Train</x:v>
      </x:c>
    </x:row>
    <x:row r="66">
      <x:c r="A66" s="38" t="n">
        <x:v>45362</x:v>
      </x:c>
      <x:c r="B66" s="16" t="str">
        <x:v>Engro Urea - 50 kg bag</x:v>
      </x:c>
      <x:c r="C66" s="39" t="n">
        <x:v>765000</x:v>
      </x:c>
      <x:c r="D66" s="39" t="n">
        <x:f>C66*0.05</x:f>
        <x:v>38250</x:v>
      </x:c>
      <x:c r="E66" s="39" t="n">
        <x:v>679000</x:v>
      </x:c>
      <x:c r="F66" s="39" t="n">
        <x:v>4620</x:v>
      </x:c>
      <x:c r="G66" s="39" t="n">
        <x:v>0</x:v>
      </x:c>
      <x:c r="H66" s="40" t="n">
        <x:v>0</x:v>
      </x:c>
      <x:c r="I66" s="16" t="n">
        <x:v>0</x:v>
      </x:c>
      <x:c r="J66" s="16" t="str">
        <x:v>Normal / shoulder period</x:v>
      </x:c>
      <x:c r="K66" s="39" t="n">
        <x:v>995</x:v>
      </x:c>
      <x:c r="L66" s="16" t="n">
        <x:v>0</x:v>
      </x:c>
      <x:c r="M66" s="16" t="str"/>
      <x:c r="N66" s="16" t="str">
        <x:v>Train</x:v>
      </x:c>
    </x:row>
    <x:row r="67">
      <x:c r="A67" s="38" t="n">
        <x:v>45369</x:v>
      </x:c>
      <x:c r="B67" s="16" t="str">
        <x:v>Engro Urea - 50 kg bag</x:v>
      </x:c>
      <x:c r="C67" s="39" t="n">
        <x:v>742000</x:v>
      </x:c>
      <x:c r="D67" s="39" t="n">
        <x:f>C67*0.05</x:f>
        <x:v>37100</x:v>
      </x:c>
      <x:c r="E67" s="39" t="n">
        <x:v>734000</x:v>
      </x:c>
      <x:c r="F67" s="39" t="n">
        <x:v>4660</x:v>
      </x:c>
      <x:c r="G67" s="39" t="n">
        <x:v>0</x:v>
      </x:c>
      <x:c r="H67" s="40" t="n">
        <x:v>0</x:v>
      </x:c>
      <x:c r="I67" s="16" t="n">
        <x:v>0</x:v>
      </x:c>
      <x:c r="J67" s="16" t="str">
        <x:v>Normal / shoulder period</x:v>
      </x:c>
      <x:c r="K67" s="39" t="n">
        <x:v>1016</x:v>
      </x:c>
      <x:c r="L67" s="16" t="n">
        <x:v>0</x:v>
      </x:c>
      <x:c r="M67" s="16" t="str"/>
      <x:c r="N67" s="16" t="str">
        <x:v>Train</x:v>
      </x:c>
    </x:row>
    <x:row r="68">
      <x:c r="A68" s="38" t="n">
        <x:v>45376</x:v>
      </x:c>
      <x:c r="B68" s="16" t="str">
        <x:v>Engro Urea - 50 kg bag</x:v>
      </x:c>
      <x:c r="C68" s="39" t="n">
        <x:v>685000</x:v>
      </x:c>
      <x:c r="D68" s="39" t="n">
        <x:f>C68*0.05</x:f>
        <x:v>34250</x:v>
      </x:c>
      <x:c r="E68" s="39" t="n">
        <x:v>726000</x:v>
      </x:c>
      <x:c r="F68" s="39" t="n">
        <x:v>4640</x:v>
      </x:c>
      <x:c r="G68" s="39" t="n">
        <x:v>0</x:v>
      </x:c>
      <x:c r="H68" s="40" t="n">
        <x:v>0</x:v>
      </x:c>
      <x:c r="I68" s="16" t="n">
        <x:v>0</x:v>
      </x:c>
      <x:c r="J68" s="16" t="str">
        <x:v>Normal / shoulder period</x:v>
      </x:c>
      <x:c r="K68" s="39" t="n">
        <x:v>997</x:v>
      </x:c>
      <x:c r="L68" s="16" t="n">
        <x:v>0</x:v>
      </x:c>
      <x:c r="M68" s="16" t="str"/>
      <x:c r="N68" s="16" t="str">
        <x:v>Train</x:v>
      </x:c>
    </x:row>
    <x:row r="69">
      <x:c r="A69" s="38" t="n">
        <x:v>45383</x:v>
      </x:c>
      <x:c r="B69" s="16" t="str">
        <x:v>Engro Urea - 50 kg bag</x:v>
      </x:c>
      <x:c r="C69" s="39" t="n">
        <x:v>666000</x:v>
      </x:c>
      <x:c r="D69" s="39" t="n">
        <x:f>C69*0.05</x:f>
        <x:v>33300</x:v>
      </x:c>
      <x:c r="E69" s="39" t="n">
        <x:v>638000</x:v>
      </x:c>
      <x:c r="F69" s="39" t="n">
        <x:v>4700</x:v>
      </x:c>
      <x:c r="G69" s="39" t="n">
        <x:v>0</x:v>
      </x:c>
      <x:c r="H69" s="40" t="n">
        <x:v>0</x:v>
      </x:c>
      <x:c r="I69" s="16" t="n">
        <x:v>0</x:v>
      </x:c>
      <x:c r="J69" s="16" t="str">
        <x:v>Normal / shoulder period</x:v>
      </x:c>
      <x:c r="K69" s="39" t="n">
        <x:v>980</x:v>
      </x:c>
      <x:c r="L69" s="16" t="n">
        <x:v>0</x:v>
      </x:c>
      <x:c r="M69" s="16" t="str"/>
      <x:c r="N69" s="16" t="str">
        <x:v>Train</x:v>
      </x:c>
    </x:row>
    <x:row r="70">
      <x:c r="A70" s="38" t="n">
        <x:v>45390</x:v>
      </x:c>
      <x:c r="B70" s="16" t="str">
        <x:v>Engro Urea - 50 kg bag</x:v>
      </x:c>
      <x:c r="C70" s="39" t="n">
        <x:v>685000</x:v>
      </x:c>
      <x:c r="D70" s="39" t="n">
        <x:f>C70*0.05</x:f>
        <x:v>34250</x:v>
      </x:c>
      <x:c r="E70" s="39" t="n">
        <x:v>623000</x:v>
      </x:c>
      <x:c r="F70" s="39" t="n">
        <x:v>4740</x:v>
      </x:c>
      <x:c r="G70" s="39" t="n">
        <x:v>0</x:v>
      </x:c>
      <x:c r="H70" s="40" t="n">
        <x:v>0</x:v>
      </x:c>
      <x:c r="I70" s="16" t="n">
        <x:v>0</x:v>
      </x:c>
      <x:c r="J70" s="16" t="str">
        <x:v>Normal / shoulder period</x:v>
      </x:c>
      <x:c r="K70" s="39" t="n">
        <x:v>1011</x:v>
      </x:c>
      <x:c r="L70" s="16" t="n">
        <x:v>0</x:v>
      </x:c>
      <x:c r="M70" s="16" t="str"/>
      <x:c r="N70" s="16" t="str">
        <x:v>Train</x:v>
      </x:c>
    </x:row>
    <x:row r="71">
      <x:c r="A71" s="38" t="n">
        <x:v>45397</x:v>
      </x:c>
      <x:c r="B71" s="16" t="str">
        <x:v>Engro Urea - 50 kg bag</x:v>
      </x:c>
      <x:c r="C71" s="39" t="n">
        <x:v>641000</x:v>
      </x:c>
      <x:c r="D71" s="39" t="n">
        <x:f>C71*0.05</x:f>
        <x:v>32050</x:v>
      </x:c>
      <x:c r="E71" s="39" t="n">
        <x:v>653000</x:v>
      </x:c>
      <x:c r="F71" s="39" t="n">
        <x:v>4700</x:v>
      </x:c>
      <x:c r="G71" s="39" t="n">
        <x:v>0</x:v>
      </x:c>
      <x:c r="H71" s="40" t="n">
        <x:v>0</x:v>
      </x:c>
      <x:c r="I71" s="16" t="n">
        <x:v>0</x:v>
      </x:c>
      <x:c r="J71" s="16" t="str">
        <x:v>Normal / shoulder period</x:v>
      </x:c>
      <x:c r="K71" s="39" t="n">
        <x:v>990</x:v>
      </x:c>
      <x:c r="L71" s="16" t="n">
        <x:v>0</x:v>
      </x:c>
      <x:c r="M71" s="16" t="str"/>
      <x:c r="N71" s="16" t="str">
        <x:v>Train</x:v>
      </x:c>
    </x:row>
    <x:row r="72">
      <x:c r="A72" s="38" t="n">
        <x:v>45404</x:v>
      </x:c>
      <x:c r="B72" s="16" t="str">
        <x:v>Engro Urea - 50 kg bag</x:v>
      </x:c>
      <x:c r="C72" s="39" t="n">
        <x:v>699000</x:v>
      </x:c>
      <x:c r="D72" s="39" t="n">
        <x:f>C72*0.05</x:f>
        <x:v>34950</x:v>
      </x:c>
      <x:c r="E72" s="39" t="n">
        <x:v>602000</x:v>
      </x:c>
      <x:c r="F72" s="39" t="n">
        <x:v>4700</x:v>
      </x:c>
      <x:c r="G72" s="39" t="n">
        <x:v>0</x:v>
      </x:c>
      <x:c r="H72" s="40" t="n">
        <x:v>0</x:v>
      </x:c>
      <x:c r="I72" s="16" t="n">
        <x:v>0</x:v>
      </x:c>
      <x:c r="J72" s="16" t="str">
        <x:v>Normal / shoulder period</x:v>
      </x:c>
      <x:c r="K72" s="39" t="n">
        <x:v>1007</x:v>
      </x:c>
      <x:c r="L72" s="16" t="n">
        <x:v>0</x:v>
      </x:c>
      <x:c r="M72" s="16" t="str"/>
      <x:c r="N72" s="16" t="str">
        <x:v>Train</x:v>
      </x:c>
    </x:row>
    <x:row r="73">
      <x:c r="A73" s="38" t="n">
        <x:v>45411</x:v>
      </x:c>
      <x:c r="B73" s="16" t="str">
        <x:v>Engro Urea - 50 kg bag</x:v>
      </x:c>
      <x:c r="C73" s="39" t="n">
        <x:v>791000</x:v>
      </x:c>
      <x:c r="D73" s="39" t="n">
        <x:f>C73*0.05</x:f>
        <x:v>39550</x:v>
      </x:c>
      <x:c r="E73" s="39" t="n">
        <x:v>655000</x:v>
      </x:c>
      <x:c r="F73" s="39" t="n">
        <x:v>4700</x:v>
      </x:c>
      <x:c r="G73" s="39" t="n">
        <x:v>1</x:v>
      </x:c>
      <x:c r="H73" s="40" t="n">
        <x:v>0.05</x:v>
      </x:c>
      <x:c r="I73" s="16" t="n">
        <x:v>0</x:v>
      </x:c>
      <x:c r="J73" s="16" t="str">
        <x:v>Normal / shoulder period</x:v>
      </x:c>
      <x:c r="K73" s="39" t="n">
        <x:v>1001</x:v>
      </x:c>
      <x:c r="L73" s="16" t="n">
        <x:v>0</x:v>
      </x:c>
      <x:c r="M73" s="16" t="str"/>
      <x:c r="N73" s="16" t="str">
        <x:v>Train</x:v>
      </x:c>
    </x:row>
    <x:row r="74">
      <x:c r="A74" s="38" t="n">
        <x:v>45418</x:v>
      </x:c>
      <x:c r="B74" s="16" t="str">
        <x:v>Engro Urea - 50 kg bag</x:v>
      </x:c>
      <x:c r="C74" s="39" t="n">
        <x:v>768000</x:v>
      </x:c>
      <x:c r="D74" s="39" t="n">
        <x:f>C74*0.05</x:f>
        <x:v>38400</x:v>
      </x:c>
      <x:c r="E74" s="39" t="n">
        <x:v>754000</x:v>
      </x:c>
      <x:c r="F74" s="39" t="n">
        <x:v>4720</x:v>
      </x:c>
      <x:c r="G74" s="39" t="n">
        <x:v>0</x:v>
      </x:c>
      <x:c r="H74" s="40" t="n">
        <x:v>0</x:v>
      </x:c>
      <x:c r="I74" s="16" t="n">
        <x:v>0</x:v>
      </x:c>
      <x:c r="J74" s="16" t="str">
        <x:v>Normal / shoulder period</x:v>
      </x:c>
      <x:c r="K74" s="39" t="n">
        <x:v>997</x:v>
      </x:c>
      <x:c r="L74" s="16" t="n">
        <x:v>0</x:v>
      </x:c>
      <x:c r="M74" s="16" t="str"/>
      <x:c r="N74" s="16" t="str">
        <x:v>Train</x:v>
      </x:c>
    </x:row>
    <x:row r="75">
      <x:c r="A75" s="38" t="n">
        <x:v>45425</x:v>
      </x:c>
      <x:c r="B75" s="16" t="str">
        <x:v>Engro Urea - 50 kg bag</x:v>
      </x:c>
      <x:c r="C75" s="39" t="n">
        <x:v>719000</x:v>
      </x:c>
      <x:c r="D75" s="39" t="n">
        <x:f>C75*0.05</x:f>
        <x:v>35950</x:v>
      </x:c>
      <x:c r="E75" s="39" t="n">
        <x:v>748000</x:v>
      </x:c>
      <x:c r="F75" s="39" t="n">
        <x:v>4680</x:v>
      </x:c>
      <x:c r="G75" s="39" t="n">
        <x:v>0</x:v>
      </x:c>
      <x:c r="H75" s="40" t="n">
        <x:v>0</x:v>
      </x:c>
      <x:c r="I75" s="16" t="n">
        <x:v>0</x:v>
      </x:c>
      <x:c r="J75" s="16" t="str">
        <x:v>Normal / shoulder period</x:v>
      </x:c>
      <x:c r="K75" s="39" t="n">
        <x:v>994</x:v>
      </x:c>
      <x:c r="L75" s="16" t="n">
        <x:v>0</x:v>
      </x:c>
      <x:c r="M75" s="16" t="str"/>
      <x:c r="N75" s="16" t="str">
        <x:v>Train</x:v>
      </x:c>
    </x:row>
    <x:row r="76">
      <x:c r="A76" s="38" t="n">
        <x:v>45432</x:v>
      </x:c>
      <x:c r="B76" s="16" t="str">
        <x:v>Engro Urea - 50 kg bag</x:v>
      </x:c>
      <x:c r="C76" s="39" t="n">
        <x:v>835000</x:v>
      </x:c>
      <x:c r="D76" s="39" t="n">
        <x:f>C76*0.05</x:f>
        <x:v>41750</x:v>
      </x:c>
      <x:c r="E76" s="39" t="n">
        <x:v>704000</x:v>
      </x:c>
      <x:c r="F76" s="39" t="n">
        <x:v>4700</x:v>
      </x:c>
      <x:c r="G76" s="39" t="n">
        <x:v>0</x:v>
      </x:c>
      <x:c r="H76" s="40" t="n">
        <x:v>0</x:v>
      </x:c>
      <x:c r="I76" s="16" t="n">
        <x:v>0</x:v>
      </x:c>
      <x:c r="J76" s="16" t="str">
        <x:v>Normal / shoulder period</x:v>
      </x:c>
      <x:c r="K76" s="39" t="n">
        <x:v>1005</x:v>
      </x:c>
      <x:c r="L76" s="16" t="n">
        <x:v>0</x:v>
      </x:c>
      <x:c r="M76" s="16" t="str"/>
      <x:c r="N76" s="16" t="str">
        <x:v>Train</x:v>
      </x:c>
    </x:row>
    <x:row r="77">
      <x:c r="A77" s="38" t="n">
        <x:v>45439</x:v>
      </x:c>
      <x:c r="B77" s="16" t="str">
        <x:v>Engro Urea - 50 kg bag</x:v>
      </x:c>
      <x:c r="C77" s="39" t="n">
        <x:v>450000</x:v>
      </x:c>
      <x:c r="D77" s="39" t="n">
        <x:f>C77*0.05</x:f>
        <x:v>22500</x:v>
      </x:c>
      <x:c r="E77" s="39" t="n">
        <x:v>836000</x:v>
      </x:c>
      <x:c r="F77" s="39" t="n">
        <x:v>4700</x:v>
      </x:c>
      <x:c r="G77" s="39" t="n">
        <x:v>0</x:v>
      </x:c>
      <x:c r="H77" s="40" t="n">
        <x:v>0</x:v>
      </x:c>
      <x:c r="I77" s="16" t="n">
        <x:v>0</x:v>
      </x:c>
      <x:c r="J77" s="16" t="str">
        <x:v>Normal / shoulder period</x:v>
      </x:c>
      <x:c r="K77" s="39" t="n">
        <x:v>995</x:v>
      </x:c>
      <x:c r="L77" s="16" t="n">
        <x:v>1</x:v>
      </x:c>
      <x:c r="M77" s="16" t="str">
        <x:v>Monsoon-related logistics disruption</x:v>
      </x:c>
      <x:c r="N77" s="16" t="str">
        <x:v>Train</x:v>
      </x:c>
    </x:row>
    <x:row r="78">
      <x:c r="A78" s="38" t="n">
        <x:v>45446</x:v>
      </x:c>
      <x:c r="B78" s="16" t="str">
        <x:v>Engro Urea - 50 kg bag</x:v>
      </x:c>
      <x:c r="C78" s="39" t="n">
        <x:v>850000</x:v>
      </x:c>
      <x:c r="D78" s="39" t="n">
        <x:f>C78*0.05</x:f>
        <x:v>42500</x:v>
      </x:c>
      <x:c r="E78" s="39" t="n">
        <x:v>478000</x:v>
      </x:c>
      <x:c r="F78" s="39" t="n">
        <x:v>4700</x:v>
      </x:c>
      <x:c r="G78" s="39" t="n">
        <x:v>0</x:v>
      </x:c>
      <x:c r="H78" s="40" t="n">
        <x:v>0</x:v>
      </x:c>
      <x:c r="I78" s="16" t="n">
        <x:v>1</x:v>
      </x:c>
      <x:c r="J78" s="16" t="str">
        <x:v>Kharif demand window</x:v>
      </x:c>
      <x:c r="K78" s="39" t="n">
        <x:v>1023</x:v>
      </x:c>
      <x:c r="L78" s="16" t="n">
        <x:v>0</x:v>
      </x:c>
      <x:c r="M78" s="16" t="str">
        <x:v>Monsoon-related logistics disruption</x:v>
      </x:c>
      <x:c r="N78" s="16" t="str">
        <x:v>Train</x:v>
      </x:c>
    </x:row>
    <x:row r="79">
      <x:c r="A79" s="38" t="n">
        <x:v>45453</x:v>
      </x:c>
      <x:c r="B79" s="16" t="str">
        <x:v>Engro Urea - 50 kg bag</x:v>
      </x:c>
      <x:c r="C79" s="39" t="n">
        <x:v>889000</x:v>
      </x:c>
      <x:c r="D79" s="39" t="n">
        <x:f>C79*0.05</x:f>
        <x:v>44450</x:v>
      </x:c>
      <x:c r="E79" s="39" t="n">
        <x:v>909000</x:v>
      </x:c>
      <x:c r="F79" s="39" t="n">
        <x:v>4680</x:v>
      </x:c>
      <x:c r="G79" s="39" t="n">
        <x:v>0</x:v>
      </x:c>
      <x:c r="H79" s="40" t="n">
        <x:v>0</x:v>
      </x:c>
      <x:c r="I79" s="16" t="n">
        <x:v>1</x:v>
      </x:c>
      <x:c r="J79" s="16" t="str">
        <x:v>Kharif demand window</x:v>
      </x:c>
      <x:c r="K79" s="39" t="n">
        <x:v>1020</x:v>
      </x:c>
      <x:c r="L79" s="16" t="n">
        <x:v>0</x:v>
      </x:c>
      <x:c r="M79" s="16" t="str"/>
      <x:c r="N79" s="16" t="str">
        <x:v>Train</x:v>
      </x:c>
    </x:row>
    <x:row r="80">
      <x:c r="A80" s="38" t="n">
        <x:v>45460</x:v>
      </x:c>
      <x:c r="B80" s="16" t="str">
        <x:v>Engro Urea - 50 kg bag</x:v>
      </x:c>
      <x:c r="C80" s="39" t="n">
        <x:v>1097000</x:v>
      </x:c>
      <x:c r="D80" s="39" t="n">
        <x:f>C80*0.05</x:f>
        <x:v>54850</x:v>
      </x:c>
      <x:c r="E80" s="39" t="n">
        <x:v>954000</x:v>
      </x:c>
      <x:c r="F80" s="39" t="n">
        <x:v>4700</x:v>
      </x:c>
      <x:c r="G80" s="39" t="n">
        <x:v>1</x:v>
      </x:c>
      <x:c r="H80" s="40" t="n">
        <x:v>0.05</x:v>
      </x:c>
      <x:c r="I80" s="16" t="n">
        <x:v>1</x:v>
      </x:c>
      <x:c r="J80" s="16" t="str">
        <x:v>Kharif demand window</x:v>
      </x:c>
      <x:c r="K80" s="39" t="n">
        <x:v>1005</x:v>
      </x:c>
      <x:c r="L80" s="16" t="n">
        <x:v>0</x:v>
      </x:c>
      <x:c r="M80" s="16" t="str"/>
      <x:c r="N80" s="16" t="str">
        <x:v>Train</x:v>
      </x:c>
    </x:row>
    <x:row r="81">
      <x:c r="A81" s="38" t="n">
        <x:v>45467</x:v>
      </x:c>
      <x:c r="B81" s="16" t="str">
        <x:v>Engro Urea - 50 kg bag</x:v>
      </x:c>
      <x:c r="C81" s="39" t="n">
        <x:v>962000</x:v>
      </x:c>
      <x:c r="D81" s="39" t="n">
        <x:f>C81*0.05</x:f>
        <x:v>48100</x:v>
      </x:c>
      <x:c r="E81" s="39" t="n">
        <x:v>1112000</x:v>
      </x:c>
      <x:c r="F81" s="39" t="n">
        <x:v>4720</x:v>
      </x:c>
      <x:c r="G81" s="39" t="n">
        <x:v>0</x:v>
      </x:c>
      <x:c r="H81" s="40" t="n">
        <x:v>0</x:v>
      </x:c>
      <x:c r="I81" s="16" t="n">
        <x:v>1</x:v>
      </x:c>
      <x:c r="J81" s="16" t="str">
        <x:v>Kharif demand window</x:v>
      </x:c>
      <x:c r="K81" s="39" t="n">
        <x:v>982</x:v>
      </x:c>
      <x:c r="L81" s="16" t="n">
        <x:v>0</x:v>
      </x:c>
      <x:c r="M81" s="16" t="str"/>
      <x:c r="N81" s="16" t="str">
        <x:v>Train</x:v>
      </x:c>
    </x:row>
    <x:row r="82">
      <x:c r="A82" s="38" t="n">
        <x:v>45474</x:v>
      </x:c>
      <x:c r="B82" s="16" t="str">
        <x:v>Engro Urea - 50 kg bag</x:v>
      </x:c>
      <x:c r="C82" s="39" t="n">
        <x:v>781000</x:v>
      </x:c>
      <x:c r="D82" s="39" t="n">
        <x:f>C82*0.05</x:f>
        <x:v>39050</x:v>
      </x:c>
      <x:c r="E82" s="39" t="n">
        <x:v>986000</x:v>
      </x:c>
      <x:c r="F82" s="39" t="n">
        <x:v>4580</x:v>
      </x:c>
      <x:c r="G82" s="39" t="n">
        <x:v>0</x:v>
      </x:c>
      <x:c r="H82" s="40" t="n">
        <x:v>0</x:v>
      </x:c>
      <x:c r="I82" s="16" t="n">
        <x:v>1</x:v>
      </x:c>
      <x:c r="J82" s="16" t="str">
        <x:v>Kharif demand window</x:v>
      </x:c>
      <x:c r="K82" s="39" t="n">
        <x:v>1001</x:v>
      </x:c>
      <x:c r="L82" s="16" t="n">
        <x:v>1</x:v>
      </x:c>
      <x:c r="M82" s="16" t="str"/>
      <x:c r="N82" s="16" t="str">
        <x:v>Train</x:v>
      </x:c>
    </x:row>
    <x:row r="83">
      <x:c r="A83" s="38" t="n">
        <x:v>45481</x:v>
      </x:c>
      <x:c r="B83" s="16" t="str">
        <x:v>Engro Urea - 50 kg bag</x:v>
      </x:c>
      <x:c r="C83" s="39" t="n">
        <x:v>1051000</x:v>
      </x:c>
      <x:c r="D83" s="39" t="n">
        <x:f>C83*0.05</x:f>
        <x:v>52550</x:v>
      </x:c>
      <x:c r="E83" s="39" t="n">
        <x:v>833000</x:v>
      </x:c>
      <x:c r="F83" s="39" t="n">
        <x:v>4600</x:v>
      </x:c>
      <x:c r="G83" s="39" t="n">
        <x:v>0</x:v>
      </x:c>
      <x:c r="H83" s="40" t="n">
        <x:v>0</x:v>
      </x:c>
      <x:c r="I83" s="16" t="n">
        <x:v>1</x:v>
      </x:c>
      <x:c r="J83" s="16" t="str">
        <x:v>Kharif demand window</x:v>
      </x:c>
      <x:c r="K83" s="39" t="n">
        <x:v>993</x:v>
      </x:c>
      <x:c r="L83" s="16" t="n">
        <x:v>0</x:v>
      </x:c>
      <x:c r="M83" s="16" t="str"/>
      <x:c r="N83" s="16" t="str">
        <x:v>Train</x:v>
      </x:c>
    </x:row>
    <x:row r="84">
      <x:c r="A84" s="38" t="n">
        <x:v>45488</x:v>
      </x:c>
      <x:c r="B84" s="16" t="str">
        <x:v>Engro Urea - 50 kg bag</x:v>
      </x:c>
      <x:c r="C84" s="39" t="n">
        <x:v>1171000</x:v>
      </x:c>
      <x:c r="D84" s="39" t="n">
        <x:f>C84*0.05</x:f>
        <x:v>58550</x:v>
      </x:c>
      <x:c r="E84" s="39" t="n">
        <x:v>1146000</x:v>
      </x:c>
      <x:c r="F84" s="39" t="n">
        <x:v>4580</x:v>
      </x:c>
      <x:c r="G84" s="39" t="n">
        <x:v>1</x:v>
      </x:c>
      <x:c r="H84" s="40" t="n">
        <x:v>0.02</x:v>
      </x:c>
      <x:c r="I84" s="16" t="n">
        <x:v>1</x:v>
      </x:c>
      <x:c r="J84" s="16" t="str">
        <x:v>Kharif demand window</x:v>
      </x:c>
      <x:c r="K84" s="39" t="n">
        <x:v>1005</x:v>
      </x:c>
      <x:c r="L84" s="16" t="n">
        <x:v>0</x:v>
      </x:c>
      <x:c r="M84" s="16" t="str"/>
      <x:c r="N84" s="16" t="str">
        <x:v>Train</x:v>
      </x:c>
    </x:row>
    <x:row r="85">
      <x:c r="A85" s="38" t="n">
        <x:v>45495</x:v>
      </x:c>
      <x:c r="B85" s="16" t="str">
        <x:v>Engro Urea - 50 kg bag</x:v>
      </x:c>
      <x:c r="C85" s="39" t="n">
        <x:v>950000</x:v>
      </x:c>
      <x:c r="D85" s="39" t="n">
        <x:f>C85*0.05</x:f>
        <x:v>47500</x:v>
      </x:c>
      <x:c r="E85" s="39" t="n">
        <x:v>1274000</x:v>
      </x:c>
      <x:c r="F85" s="39" t="n">
        <x:v>4620</x:v>
      </x:c>
      <x:c r="G85" s="39" t="n">
        <x:v>0</x:v>
      </x:c>
      <x:c r="H85" s="40" t="n">
        <x:v>0</x:v>
      </x:c>
      <x:c r="I85" s="16" t="n">
        <x:v>1</x:v>
      </x:c>
      <x:c r="J85" s="16" t="str">
        <x:v>Kharif demand window</x:v>
      </x:c>
      <x:c r="K85" s="39" t="n">
        <x:v>1010</x:v>
      </x:c>
      <x:c r="L85" s="16" t="n">
        <x:v>0</x:v>
      </x:c>
      <x:c r="M85" s="16" t="str"/>
      <x:c r="N85" s="16" t="str">
        <x:v>Train</x:v>
      </x:c>
    </x:row>
    <x:row r="86">
      <x:c r="A86" s="38" t="n">
        <x:v>45502</x:v>
      </x:c>
      <x:c r="B86" s="16" t="str">
        <x:v>Engro Urea - 50 kg bag</x:v>
      </x:c>
      <x:c r="C86" s="39" t="n">
        <x:v>1043000</x:v>
      </x:c>
      <x:c r="D86" s="39" t="n">
        <x:f>C86*0.05</x:f>
        <x:v>52150</x:v>
      </x:c>
      <x:c r="E86" s="39" t="n">
        <x:v>976000</x:v>
      </x:c>
      <x:c r="F86" s="39" t="n">
        <x:v>4620</x:v>
      </x:c>
      <x:c r="G86" s="39" t="n">
        <x:v>0</x:v>
      </x:c>
      <x:c r="H86" s="40" t="n">
        <x:v>0</x:v>
      </x:c>
      <x:c r="I86" s="16" t="n">
        <x:v>1</x:v>
      </x:c>
      <x:c r="J86" s="16" t="str">
        <x:v>Kharif demand window</x:v>
      </x:c>
      <x:c r="K86" s="39" t="n">
        <x:v>1025</x:v>
      </x:c>
      <x:c r="L86" s="16" t="n">
        <x:v>0</x:v>
      </x:c>
      <x:c r="M86" s="16" t="str"/>
      <x:c r="N86" s="16" t="str">
        <x:v>Train</x:v>
      </x:c>
    </x:row>
    <x:row r="87">
      <x:c r="A87" s="38" t="n">
        <x:v>45509</x:v>
      </x:c>
      <x:c r="B87" s="16" t="str">
        <x:v>Engro Urea - 50 kg bag</x:v>
      </x:c>
      <x:c r="C87" s="39" t="n">
        <x:v>1021000</x:v>
      </x:c>
      <x:c r="D87" s="39" t="n">
        <x:f>C87*0.05</x:f>
        <x:v>51050</x:v>
      </x:c>
      <x:c r="E87" s="39" t="n">
        <x:v>1103000</x:v>
      </x:c>
      <x:c r="F87" s="39" t="n">
        <x:v>4580</x:v>
      </x:c>
      <x:c r="G87" s="39" t="n">
        <x:v>0</x:v>
      </x:c>
      <x:c r="H87" s="40" t="n">
        <x:v>0</x:v>
      </x:c>
      <x:c r="I87" s="16" t="n">
        <x:v>1</x:v>
      </x:c>
      <x:c r="J87" s="16" t="str">
        <x:v>Kharif demand window</x:v>
      </x:c>
      <x:c r="K87" s="39" t="n">
        <x:v>999</x:v>
      </x:c>
      <x:c r="L87" s="16" t="n">
        <x:v>0</x:v>
      </x:c>
      <x:c r="M87" s="16" t="str"/>
      <x:c r="N87" s="16" t="str">
        <x:v>Train</x:v>
      </x:c>
    </x:row>
    <x:row r="88">
      <x:c r="A88" s="38" t="n">
        <x:v>45516</x:v>
      </x:c>
      <x:c r="B88" s="16" t="str">
        <x:v>Engro Urea - 50 kg bag</x:v>
      </x:c>
      <x:c r="C88" s="39" t="n">
        <x:v>1001000</x:v>
      </x:c>
      <x:c r="D88" s="39" t="n">
        <x:f>C88*0.05</x:f>
        <x:v>50050</x:v>
      </x:c>
      <x:c r="E88" s="39" t="n">
        <x:v>1073000</x:v>
      </x:c>
      <x:c r="F88" s="39" t="n">
        <x:v>4540</x:v>
      </x:c>
      <x:c r="G88" s="39" t="n">
        <x:v>0</x:v>
      </x:c>
      <x:c r="H88" s="40" t="n">
        <x:v>0</x:v>
      </x:c>
      <x:c r="I88" s="16" t="n">
        <x:v>1</x:v>
      </x:c>
      <x:c r="J88" s="16" t="str">
        <x:v>Kharif demand window</x:v>
      </x:c>
      <x:c r="K88" s="39" t="n">
        <x:v>1017</x:v>
      </x:c>
      <x:c r="L88" s="16" t="n">
        <x:v>0</x:v>
      </x:c>
      <x:c r="M88" s="16" t="str"/>
      <x:c r="N88" s="16" t="str">
        <x:v>Train</x:v>
      </x:c>
    </x:row>
    <x:row r="89">
      <x:c r="A89" s="38" t="n">
        <x:v>45523</x:v>
      </x:c>
      <x:c r="B89" s="16" t="str">
        <x:v>Engro Urea - 50 kg bag</x:v>
      </x:c>
      <x:c r="C89" s="39" t="n">
        <x:v>952000</x:v>
      </x:c>
      <x:c r="D89" s="39" t="n">
        <x:f>C89*0.05</x:f>
        <x:v>47600</x:v>
      </x:c>
      <x:c r="E89" s="39" t="n">
        <x:v>1035000</x:v>
      </x:c>
      <x:c r="F89" s="39" t="n">
        <x:v>4580</x:v>
      </x:c>
      <x:c r="G89" s="39" t="n">
        <x:v>0</x:v>
      </x:c>
      <x:c r="H89" s="40" t="n">
        <x:v>0</x:v>
      </x:c>
      <x:c r="I89" s="16" t="n">
        <x:v>1</x:v>
      </x:c>
      <x:c r="J89" s="16" t="str">
        <x:v>Kharif demand window</x:v>
      </x:c>
      <x:c r="K89" s="39" t="n">
        <x:v>999</x:v>
      </x:c>
      <x:c r="L89" s="16" t="n">
        <x:v>0</x:v>
      </x:c>
      <x:c r="M89" s="16" t="str"/>
      <x:c r="N89" s="16" t="str">
        <x:v>Train</x:v>
      </x:c>
    </x:row>
    <x:row r="90">
      <x:c r="A90" s="38" t="n">
        <x:v>45530</x:v>
      </x:c>
      <x:c r="B90" s="16" t="str">
        <x:v>Engro Urea - 50 kg bag</x:v>
      </x:c>
      <x:c r="C90" s="39" t="n">
        <x:v>881000</x:v>
      </x:c>
      <x:c r="D90" s="39" t="n">
        <x:f>C90*0.05</x:f>
        <x:v>44050</x:v>
      </x:c>
      <x:c r="E90" s="39" t="n">
        <x:v>998000</x:v>
      </x:c>
      <x:c r="F90" s="39" t="n">
        <x:v>4600</x:v>
      </x:c>
      <x:c r="G90" s="39" t="n">
        <x:v>0</x:v>
      </x:c>
      <x:c r="H90" s="40" t="n">
        <x:v>0</x:v>
      </x:c>
      <x:c r="I90" s="16" t="n">
        <x:v>1</x:v>
      </x:c>
      <x:c r="J90" s="16" t="str">
        <x:v>Kharif demand window</x:v>
      </x:c>
      <x:c r="K90" s="39" t="n">
        <x:v>1022</x:v>
      </x:c>
      <x:c r="L90" s="16" t="n">
        <x:v>1</x:v>
      </x:c>
      <x:c r="M90" s="16" t="str"/>
      <x:c r="N90" s="16" t="str">
        <x:v>Train</x:v>
      </x:c>
    </x:row>
    <x:row r="91">
      <x:c r="A91" s="38" t="n">
        <x:v>45537</x:v>
      </x:c>
      <x:c r="B91" s="16" t="str">
        <x:v>Engro Urea - 50 kg bag</x:v>
      </x:c>
      <x:c r="C91" s="39" t="n">
        <x:v>775000</x:v>
      </x:c>
      <x:c r="D91" s="39" t="n">
        <x:f>C91*0.05</x:f>
        <x:v>38750</x:v>
      </x:c>
      <x:c r="E91" s="39" t="n">
        <x:v>886000</x:v>
      </x:c>
      <x:c r="F91" s="39" t="n">
        <x:v>4620</x:v>
      </x:c>
      <x:c r="G91" s="39" t="n">
        <x:v>0</x:v>
      </x:c>
      <x:c r="H91" s="40" t="n">
        <x:v>0</x:v>
      </x:c>
      <x:c r="I91" s="16" t="n">
        <x:v>0</x:v>
      </x:c>
      <x:c r="J91" s="16" t="str">
        <x:v>Kharif demand window</x:v>
      </x:c>
      <x:c r="K91" s="39" t="n">
        <x:v>992</x:v>
      </x:c>
      <x:c r="L91" s="16" t="n">
        <x:v>0</x:v>
      </x:c>
      <x:c r="M91" s="16" t="str"/>
      <x:c r="N91" s="16" t="str">
        <x:v>Train</x:v>
      </x:c>
    </x:row>
    <x:row r="92">
      <x:c r="A92" s="38" t="n">
        <x:v>45544</x:v>
      </x:c>
      <x:c r="B92" s="16" t="str">
        <x:v>Engro Urea - 50 kg bag</x:v>
      </x:c>
      <x:c r="C92" s="39" t="n">
        <x:v>892000</x:v>
      </x:c>
      <x:c r="D92" s="39" t="n">
        <x:f>C92*0.05</x:f>
        <x:v>44600</x:v>
      </x:c>
      <x:c r="E92" s="39" t="n">
        <x:v>753000</x:v>
      </x:c>
      <x:c r="F92" s="39" t="n">
        <x:v>4540</x:v>
      </x:c>
      <x:c r="G92" s="39" t="n">
        <x:v>1</x:v>
      </x:c>
      <x:c r="H92" s="40" t="n">
        <x:v>0.05</x:v>
      </x:c>
      <x:c r="I92" s="16" t="n">
        <x:v>0</x:v>
      </x:c>
      <x:c r="J92" s="16" t="str">
        <x:v>Kharif demand window</x:v>
      </x:c>
      <x:c r="K92" s="39" t="n">
        <x:v>1024</x:v>
      </x:c>
      <x:c r="L92" s="16" t="n">
        <x:v>0</x:v>
      </x:c>
      <x:c r="M92" s="16" t="str"/>
      <x:c r="N92" s="16" t="str">
        <x:v>Train</x:v>
      </x:c>
    </x:row>
    <x:row r="93">
      <x:c r="A93" s="38" t="n">
        <x:v>45551</x:v>
      </x:c>
      <x:c r="B93" s="16" t="str">
        <x:v>Engro Urea - 50 kg bag</x:v>
      </x:c>
      <x:c r="C93" s="39" t="n">
        <x:v>767000</x:v>
      </x:c>
      <x:c r="D93" s="39" t="n">
        <x:f>C93*0.05</x:f>
        <x:v>38350</x:v>
      </x:c>
      <x:c r="E93" s="39" t="n">
        <x:v>842000</x:v>
      </x:c>
      <x:c r="F93" s="39" t="n">
        <x:v>4580</x:v>
      </x:c>
      <x:c r="G93" s="39" t="n">
        <x:v>0</x:v>
      </x:c>
      <x:c r="H93" s="40" t="n">
        <x:v>0</x:v>
      </x:c>
      <x:c r="I93" s="16" t="n">
        <x:v>0</x:v>
      </x:c>
      <x:c r="J93" s="16" t="str">
        <x:v>Kharif demand window</x:v>
      </x:c>
      <x:c r="K93" s="39" t="n">
        <x:v>1026</x:v>
      </x:c>
      <x:c r="L93" s="16" t="n">
        <x:v>0</x:v>
      </x:c>
      <x:c r="M93" s="16" t="str"/>
      <x:c r="N93" s="16" t="str">
        <x:v>Train</x:v>
      </x:c>
    </x:row>
    <x:row r="94">
      <x:c r="A94" s="38" t="n">
        <x:v>45558</x:v>
      </x:c>
      <x:c r="B94" s="16" t="str">
        <x:v>Engro Urea - 50 kg bag</x:v>
      </x:c>
      <x:c r="C94" s="39" t="n">
        <x:v>747000</x:v>
      </x:c>
      <x:c r="D94" s="39" t="n">
        <x:f>C94*0.05</x:f>
        <x:v>37350</x:v>
      </x:c>
      <x:c r="E94" s="39" t="n">
        <x:v>750000</x:v>
      </x:c>
      <x:c r="F94" s="39" t="n">
        <x:v>4600</x:v>
      </x:c>
      <x:c r="G94" s="39" t="n">
        <x:v>0</x:v>
      </x:c>
      <x:c r="H94" s="40" t="n">
        <x:v>0</x:v>
      </x:c>
      <x:c r="I94" s="16" t="n">
        <x:v>0</x:v>
      </x:c>
      <x:c r="J94" s="16" t="str">
        <x:v>Kharif demand window</x:v>
      </x:c>
      <x:c r="K94" s="39" t="n">
        <x:v>1031</x:v>
      </x:c>
      <x:c r="L94" s="16" t="n">
        <x:v>0</x:v>
      </x:c>
      <x:c r="M94" s="16" t="str"/>
      <x:c r="N94" s="16" t="str">
        <x:v>Train</x:v>
      </x:c>
    </x:row>
    <x:row r="95">
      <x:c r="A95" s="38" t="n">
        <x:v>45565</x:v>
      </x:c>
      <x:c r="B95" s="16" t="str">
        <x:v>Engro Urea - 50 kg bag</x:v>
      </x:c>
      <x:c r="C95" s="39" t="n">
        <x:v>885000</x:v>
      </x:c>
      <x:c r="D95" s="39" t="n">
        <x:f>C95*0.05</x:f>
        <x:v>44250</x:v>
      </x:c>
      <x:c r="E95" s="39" t="n">
        <x:v>729000</x:v>
      </x:c>
      <x:c r="F95" s="39" t="n">
        <x:v>4560</x:v>
      </x:c>
      <x:c r="G95" s="39" t="n">
        <x:v>1</x:v>
      </x:c>
      <x:c r="H95" s="40" t="n">
        <x:v>0.02</x:v>
      </x:c>
      <x:c r="I95" s="16" t="n">
        <x:v>0</x:v>
      </x:c>
      <x:c r="J95" s="16" t="str">
        <x:v>Kharif demand window</x:v>
      </x:c>
      <x:c r="K95" s="39" t="n">
        <x:v>1000</x:v>
      </x:c>
      <x:c r="L95" s="16" t="n">
        <x:v>0</x:v>
      </x:c>
      <x:c r="M95" s="16" t="str"/>
      <x:c r="N95" s="16" t="str">
        <x:v>Train</x:v>
      </x:c>
    </x:row>
    <x:row r="96">
      <x:c r="A96" s="38" t="n">
        <x:v>45572</x:v>
      </x:c>
      <x:c r="B96" s="16" t="str">
        <x:v>Engro Urea - 50 kg bag</x:v>
      </x:c>
      <x:c r="C96" s="39" t="n">
        <x:v>758000</x:v>
      </x:c>
      <x:c r="D96" s="39" t="n">
        <x:f>C96*0.05</x:f>
        <x:v>37900</x:v>
      </x:c>
      <x:c r="E96" s="39" t="n">
        <x:v>832000</x:v>
      </x:c>
      <x:c r="F96" s="39" t="n">
        <x:v>4640</x:v>
      </x:c>
      <x:c r="G96" s="39" t="n">
        <x:v>0</x:v>
      </x:c>
      <x:c r="H96" s="40" t="n">
        <x:v>0</x:v>
      </x:c>
      <x:c r="I96" s="16" t="n">
        <x:v>0</x:v>
      </x:c>
      <x:c r="J96" s="16" t="str">
        <x:v>Normal / shoulder period</x:v>
      </x:c>
      <x:c r="K96" s="39" t="n">
        <x:v>1010</x:v>
      </x:c>
      <x:c r="L96" s="16" t="n">
        <x:v>0</x:v>
      </x:c>
      <x:c r="M96" s="16" t="str"/>
      <x:c r="N96" s="16" t="str">
        <x:v>Train</x:v>
      </x:c>
    </x:row>
    <x:row r="97">
      <x:c r="A97" s="38" t="n">
        <x:v>45579</x:v>
      </x:c>
      <x:c r="B97" s="16" t="str">
        <x:v>Engro Urea - 50 kg bag</x:v>
      </x:c>
      <x:c r="C97" s="39" t="n">
        <x:v>740000</x:v>
      </x:c>
      <x:c r="D97" s="39" t="n">
        <x:f>C97*0.05</x:f>
        <x:v>37000</x:v>
      </x:c>
      <x:c r="E97" s="39" t="n">
        <x:v>718000</x:v>
      </x:c>
      <x:c r="F97" s="39" t="n">
        <x:v>4700</x:v>
      </x:c>
      <x:c r="G97" s="39" t="n">
        <x:v>0</x:v>
      </x:c>
      <x:c r="H97" s="40" t="n">
        <x:v>0</x:v>
      </x:c>
      <x:c r="I97" s="16" t="n">
        <x:v>0</x:v>
      </x:c>
      <x:c r="J97" s="16" t="str">
        <x:v>Normal / shoulder period</x:v>
      </x:c>
      <x:c r="K97" s="39" t="n">
        <x:v>1004</x:v>
      </x:c>
      <x:c r="L97" s="16" t="n">
        <x:v>0</x:v>
      </x:c>
      <x:c r="M97" s="16" t="str"/>
      <x:c r="N97" s="16" t="str">
        <x:v>Train</x:v>
      </x:c>
    </x:row>
    <x:row r="98">
      <x:c r="A98" s="38" t="n">
        <x:v>45586</x:v>
      </x:c>
      <x:c r="B98" s="16" t="str">
        <x:v>Engro Urea - 50 kg bag</x:v>
      </x:c>
      <x:c r="C98" s="39" t="n">
        <x:v>798000</x:v>
      </x:c>
      <x:c r="D98" s="39" t="n">
        <x:f>C98*0.05</x:f>
        <x:v>39900</x:v>
      </x:c>
      <x:c r="E98" s="39" t="n">
        <x:v>728000</x:v>
      </x:c>
      <x:c r="F98" s="39" t="n">
        <x:v>4660</x:v>
      </x:c>
      <x:c r="G98" s="39" t="n">
        <x:v>0</x:v>
      </x:c>
      <x:c r="H98" s="40" t="n">
        <x:v>0</x:v>
      </x:c>
      <x:c r="I98" s="16" t="n">
        <x:v>0</x:v>
      </x:c>
      <x:c r="J98" s="16" t="str">
        <x:v>Normal / shoulder period</x:v>
      </x:c>
      <x:c r="K98" s="39" t="n">
        <x:v>1014</x:v>
      </x:c>
      <x:c r="L98" s="16" t="n">
        <x:v>0</x:v>
      </x:c>
      <x:c r="M98" s="16" t="str"/>
      <x:c r="N98" s="16" t="str">
        <x:v>Train</x:v>
      </x:c>
    </x:row>
    <x:row r="99">
      <x:c r="A99" s="38" t="n">
        <x:v>45593</x:v>
      </x:c>
      <x:c r="B99" s="16" t="str">
        <x:v>Engro Urea - 50 kg bag</x:v>
      </x:c>
      <x:c r="C99" s="39" t="n">
        <x:v>782000</x:v>
      </x:c>
      <x:c r="D99" s="39" t="n">
        <x:f>C99*0.05</x:f>
        <x:v>39100</x:v>
      </x:c>
      <x:c r="E99" s="39" t="n">
        <x:v>769000</x:v>
      </x:c>
      <x:c r="F99" s="39" t="n">
        <x:v>4660</x:v>
      </x:c>
      <x:c r="G99" s="39" t="n">
        <x:v>0</x:v>
      </x:c>
      <x:c r="H99" s="40" t="n">
        <x:v>0</x:v>
      </x:c>
      <x:c r="I99" s="16" t="n">
        <x:v>0</x:v>
      </x:c>
      <x:c r="J99" s="16" t="str">
        <x:v>Normal / shoulder period</x:v>
      </x:c>
      <x:c r="K99" s="39" t="n">
        <x:v>1012</x:v>
      </x:c>
      <x:c r="L99" s="16" t="n">
        <x:v>0</x:v>
      </x:c>
      <x:c r="M99" s="16" t="str"/>
      <x:c r="N99" s="16" t="str">
        <x:v>Train</x:v>
      </x:c>
    </x:row>
    <x:row r="100">
      <x:c r="A100" s="38" t="n">
        <x:v>45600</x:v>
      </x:c>
      <x:c r="B100" s="16" t="str">
        <x:v>Engro Urea - 50 kg bag</x:v>
      </x:c>
      <x:c r="C100" s="39" t="n">
        <x:v>1154000</x:v>
      </x:c>
      <x:c r="D100" s="39" t="n">
        <x:f>C100*0.05</x:f>
        <x:v>57700</x:v>
      </x:c>
      <x:c r="E100" s="39" t="n">
        <x:v>815000</x:v>
      </x:c>
      <x:c r="F100" s="39" t="n">
        <x:v>4640</x:v>
      </x:c>
      <x:c r="G100" s="39" t="n">
        <x:v>1</x:v>
      </x:c>
      <x:c r="H100" s="40" t="n">
        <x:v>0.06</x:v>
      </x:c>
      <x:c r="I100" s="16" t="n">
        <x:v>1</x:v>
      </x:c>
      <x:c r="J100" s="16" t="str">
        <x:v>Rabi demand window</x:v>
      </x:c>
      <x:c r="K100" s="39" t="n">
        <x:v>1008</x:v>
      </x:c>
      <x:c r="L100" s="16" t="n">
        <x:v>0</x:v>
      </x:c>
      <x:c r="M100" s="16" t="str"/>
      <x:c r="N100" s="16" t="str">
        <x:v>Train</x:v>
      </x:c>
    </x:row>
    <x:row r="101">
      <x:c r="A101" s="38" t="n">
        <x:v>45607</x:v>
      </x:c>
      <x:c r="B101" s="16" t="str">
        <x:v>Engro Urea - 50 kg bag</x:v>
      </x:c>
      <x:c r="C101" s="39" t="n">
        <x:v>1130000</x:v>
      </x:c>
      <x:c r="D101" s="39" t="n">
        <x:f>C101*0.05</x:f>
        <x:v>56500</x:v>
      </x:c>
      <x:c r="E101" s="39" t="n">
        <x:v>1201000</x:v>
      </x:c>
      <x:c r="F101" s="39" t="n">
        <x:v>4660</x:v>
      </x:c>
      <x:c r="G101" s="39" t="n">
        <x:v>1</x:v>
      </x:c>
      <x:c r="H101" s="40" t="n">
        <x:v>0.05</x:v>
      </x:c>
      <x:c r="I101" s="16" t="n">
        <x:v>1</x:v>
      </x:c>
      <x:c r="J101" s="16" t="str">
        <x:v>Rabi demand window</x:v>
      </x:c>
      <x:c r="K101" s="39" t="n">
        <x:v>1025</x:v>
      </x:c>
      <x:c r="L101" s="16" t="n">
        <x:v>0</x:v>
      </x:c>
      <x:c r="M101" s="16" t="str"/>
      <x:c r="N101" s="16" t="str">
        <x:v>Train</x:v>
      </x:c>
    </x:row>
    <x:row r="102">
      <x:c r="A102" s="38" t="n">
        <x:v>45614</x:v>
      </x:c>
      <x:c r="B102" s="16" t="str">
        <x:v>Engro Urea - 50 kg bag</x:v>
      </x:c>
      <x:c r="C102" s="39" t="n">
        <x:v>1073000</x:v>
      </x:c>
      <x:c r="D102" s="39" t="n">
        <x:f>C102*0.05</x:f>
        <x:v>53650</x:v>
      </x:c>
      <x:c r="E102" s="39" t="n">
        <x:v>1170000</x:v>
      </x:c>
      <x:c r="F102" s="39" t="n">
        <x:v>4620</x:v>
      </x:c>
      <x:c r="G102" s="39" t="n">
        <x:v>1</x:v>
      </x:c>
      <x:c r="H102" s="40" t="n">
        <x:v>0.04</x:v>
      </x:c>
      <x:c r="I102" s="16" t="n">
        <x:v>1</x:v>
      </x:c>
      <x:c r="J102" s="16" t="str">
        <x:v>Rabi demand window</x:v>
      </x:c>
      <x:c r="K102" s="39" t="n">
        <x:v>1022</x:v>
      </x:c>
      <x:c r="L102" s="16" t="n">
        <x:v>0</x:v>
      </x:c>
      <x:c r="M102" s="16" t="str"/>
      <x:c r="N102" s="16" t="str">
        <x:v>Train</x:v>
      </x:c>
    </x:row>
    <x:row r="103">
      <x:c r="A103" s="38" t="n">
        <x:v>45621</x:v>
      </x:c>
      <x:c r="B103" s="16" t="str">
        <x:v>Engro Urea - 50 kg bag</x:v>
      </x:c>
      <x:c r="C103" s="39" t="n">
        <x:v>960000</x:v>
      </x:c>
      <x:c r="D103" s="39" t="n">
        <x:f>C103*0.05</x:f>
        <x:v>48000</x:v>
      </x:c>
      <x:c r="E103" s="39" t="n">
        <x:v>1135000</x:v>
      </x:c>
      <x:c r="F103" s="39" t="n">
        <x:v>4620</x:v>
      </x:c>
      <x:c r="G103" s="39" t="n">
        <x:v>0</x:v>
      </x:c>
      <x:c r="H103" s="40" t="n">
        <x:v>0</x:v>
      </x:c>
      <x:c r="I103" s="16" t="n">
        <x:v>1</x:v>
      </x:c>
      <x:c r="J103" s="16" t="str">
        <x:v>Rabi demand window</x:v>
      </x:c>
      <x:c r="K103" s="39" t="n">
        <x:v>1023</x:v>
      </x:c>
      <x:c r="L103" s="16" t="n">
        <x:v>0</x:v>
      </x:c>
      <x:c r="M103" s="16" t="str"/>
      <x:c r="N103" s="16" t="str">
        <x:v>Train</x:v>
      </x:c>
    </x:row>
    <x:row r="104">
      <x:c r="A104" s="38" t="n">
        <x:v>45628</x:v>
      </x:c>
      <x:c r="B104" s="16" t="str">
        <x:v>Engro Urea - 50 kg bag</x:v>
      </x:c>
      <x:c r="C104" s="39" t="n">
        <x:v>1054000</x:v>
      </x:c>
      <x:c r="D104" s="39" t="n">
        <x:f>C104*0.05</x:f>
        <x:v>52700</x:v>
      </x:c>
      <x:c r="E104" s="39" t="n">
        <x:v>983000</x:v>
      </x:c>
      <x:c r="F104" s="39" t="n">
        <x:v>4660</x:v>
      </x:c>
      <x:c r="G104" s="39" t="n">
        <x:v>0</x:v>
      </x:c>
      <x:c r="H104" s="40" t="n">
        <x:v>0</x:v>
      </x:c>
      <x:c r="I104" s="16" t="n">
        <x:v>1</x:v>
      </x:c>
      <x:c r="J104" s="16" t="str">
        <x:v>Rabi demand window</x:v>
      </x:c>
      <x:c r="K104" s="39" t="n">
        <x:v>1005</x:v>
      </x:c>
      <x:c r="L104" s="16" t="n">
        <x:v>0</x:v>
      </x:c>
      <x:c r="M104" s="16" t="str"/>
      <x:c r="N104" s="16" t="str">
        <x:v>Train</x:v>
      </x:c>
    </x:row>
    <x:row r="105">
      <x:c r="A105" s="38" t="n">
        <x:v>45635</x:v>
      </x:c>
      <x:c r="B105" s="16" t="str">
        <x:v>Engro Urea - 50 kg bag</x:v>
      </x:c>
      <x:c r="C105" s="39" t="n">
        <x:v>999000</x:v>
      </x:c>
      <x:c r="D105" s="39" t="n">
        <x:f>C105*0.05</x:f>
        <x:v>49950</x:v>
      </x:c>
      <x:c r="E105" s="39" t="n">
        <x:v>1078000</x:v>
      </x:c>
      <x:c r="F105" s="39" t="n">
        <x:v>4660</x:v>
      </x:c>
      <x:c r="G105" s="39" t="n">
        <x:v>0</x:v>
      </x:c>
      <x:c r="H105" s="40" t="n">
        <x:v>0</x:v>
      </x:c>
      <x:c r="I105" s="16" t="n">
        <x:v>1</x:v>
      </x:c>
      <x:c r="J105" s="16" t="str">
        <x:v>Rabi demand window</x:v>
      </x:c>
      <x:c r="K105" s="39" t="n">
        <x:v>1010</x:v>
      </x:c>
      <x:c r="L105" s="16" t="n">
        <x:v>0</x:v>
      </x:c>
      <x:c r="M105" s="16" t="str"/>
      <x:c r="N105" s="16" t="str">
        <x:v>Train</x:v>
      </x:c>
    </x:row>
    <x:row r="106">
      <x:c r="A106" s="38" t="n">
        <x:v>45642</x:v>
      </x:c>
      <x:c r="B106" s="16" t="str">
        <x:v>Engro Urea - 50 kg bag</x:v>
      </x:c>
      <x:c r="C106" s="39" t="n">
        <x:v>1021000</x:v>
      </x:c>
      <x:c r="D106" s="39" t="n">
        <x:f>C106*0.05</x:f>
        <x:v>51050</x:v>
      </x:c>
      <x:c r="E106" s="39" t="n">
        <x:v>1032000</x:v>
      </x:c>
      <x:c r="F106" s="39" t="n">
        <x:v>4680</x:v>
      </x:c>
      <x:c r="G106" s="39" t="n">
        <x:v>0</x:v>
      </x:c>
      <x:c r="H106" s="40" t="n">
        <x:v>0</x:v>
      </x:c>
      <x:c r="I106" s="16" t="n">
        <x:v>1</x:v>
      </x:c>
      <x:c r="J106" s="16" t="str">
        <x:v>Rabi demand window</x:v>
      </x:c>
      <x:c r="K106" s="39" t="n">
        <x:v>1019</x:v>
      </x:c>
      <x:c r="L106" s="16" t="n">
        <x:v>0</x:v>
      </x:c>
      <x:c r="M106" s="16" t="str"/>
      <x:c r="N106" s="16" t="str">
        <x:v>Train</x:v>
      </x:c>
    </x:row>
    <x:row r="107">
      <x:c r="A107" s="38" t="n">
        <x:v>45649</x:v>
      </x:c>
      <x:c r="B107" s="16" t="str">
        <x:v>Engro Urea - 50 kg bag</x:v>
      </x:c>
      <x:c r="C107" s="39" t="n">
        <x:v>1148000</x:v>
      </x:c>
      <x:c r="D107" s="39" t="n">
        <x:f>C107*0.05</x:f>
        <x:v>57400</x:v>
      </x:c>
      <x:c r="E107" s="39" t="n">
        <x:v>1102000</x:v>
      </x:c>
      <x:c r="F107" s="39" t="n">
        <x:v>4700</x:v>
      </x:c>
      <x:c r="G107" s="39" t="n">
        <x:v>1</x:v>
      </x:c>
      <x:c r="H107" s="40" t="n">
        <x:v>0.03</x:v>
      </x:c>
      <x:c r="I107" s="16" t="n">
        <x:v>1</x:v>
      </x:c>
      <x:c r="J107" s="16" t="str">
        <x:v>Rabi demand window</x:v>
      </x:c>
      <x:c r="K107" s="39" t="n">
        <x:v>1024</x:v>
      </x:c>
      <x:c r="L107" s="16" t="n">
        <x:v>0</x:v>
      </x:c>
      <x:c r="M107" s="16" t="str"/>
      <x:c r="N107" s="16" t="str">
        <x:v>Train</x:v>
      </x:c>
    </x:row>
    <x:row r="108">
      <x:c r="A108" s="38" t="n">
        <x:v>45656</x:v>
      </x:c>
      <x:c r="B108" s="16" t="str">
        <x:v>Engro Urea - 50 kg bag</x:v>
      </x:c>
      <x:c r="C108" s="39" t="n">
        <x:v>1206000</x:v>
      </x:c>
      <x:c r="D108" s="39" t="n">
        <x:f>C108*0.05</x:f>
        <x:v>60300</x:v>
      </x:c>
      <x:c r="E108" s="39" t="n">
        <x:v>1213000</x:v>
      </x:c>
      <x:c r="F108" s="39" t="n">
        <x:v>4660</x:v>
      </x:c>
      <x:c r="G108" s="39" t="n">
        <x:v>0</x:v>
      </x:c>
      <x:c r="H108" s="40" t="n">
        <x:v>0</x:v>
      </x:c>
      <x:c r="I108" s="16" t="n">
        <x:v>1</x:v>
      </x:c>
      <x:c r="J108" s="16" t="str">
        <x:v>Rabi demand window</x:v>
      </x:c>
      <x:c r="K108" s="39" t="n">
        <x:v>1022</x:v>
      </x:c>
      <x:c r="L108" s="16" t="n">
        <x:v>0</x:v>
      </x:c>
      <x:c r="M108" s="16" t="str">
        <x:v>Competitor supply tightness increased channel pull</x:v>
      </x:c>
      <x:c r="N108" s="16" t="str">
        <x:v>Train</x:v>
      </x:c>
    </x:row>
    <x:row r="109">
      <x:c r="A109" s="38" t="n">
        <x:v>45663</x:v>
      </x:c>
      <x:c r="B109" s="16" t="str">
        <x:v>Engro Urea - 50 kg bag</x:v>
      </x:c>
      <x:c r="C109" s="39" t="n">
        <x:v>1002000</x:v>
      </x:c>
      <x:c r="D109" s="39" t="n">
        <x:f>C109*0.05</x:f>
        <x:v>50100</x:v>
      </x:c>
      <x:c r="E109" s="39" t="n">
        <x:v>1282000</x:v>
      </x:c>
      <x:c r="F109" s="39" t="n">
        <x:v>4340</x:v>
      </x:c>
      <x:c r="G109" s="39" t="n">
        <x:v>0</x:v>
      </x:c>
      <x:c r="H109" s="40" t="n">
        <x:v>0</x:v>
      </x:c>
      <x:c r="I109" s="16" t="n">
        <x:v>1</x:v>
      </x:c>
      <x:c r="J109" s="16" t="str">
        <x:v>Rabi demand window</x:v>
      </x:c>
      <x:c r="K109" s="39" t="n">
        <x:v>1005</x:v>
      </x:c>
      <x:c r="L109" s="16" t="n">
        <x:v>0</x:v>
      </x:c>
      <x:c r="M109" s="16" t="str"/>
      <x:c r="N109" s="16" t="str">
        <x:v>Train</x:v>
      </x:c>
    </x:row>
    <x:row r="110">
      <x:c r="A110" s="38" t="n">
        <x:v>45670</x:v>
      </x:c>
      <x:c r="B110" s="16" t="str">
        <x:v>Engro Urea - 50 kg bag</x:v>
      </x:c>
      <x:c r="C110" s="39" t="n">
        <x:v>1014000</x:v>
      </x:c>
      <x:c r="D110" s="39" t="n">
        <x:f>C110*0.05</x:f>
        <x:v>50700</x:v>
      </x:c>
      <x:c r="E110" s="39" t="n">
        <x:v>1010000</x:v>
      </x:c>
      <x:c r="F110" s="39" t="n">
        <x:v>4320</x:v>
      </x:c>
      <x:c r="G110" s="39" t="n">
        <x:v>0</x:v>
      </x:c>
      <x:c r="H110" s="40" t="n">
        <x:v>0</x:v>
      </x:c>
      <x:c r="I110" s="16" t="n">
        <x:v>1</x:v>
      </x:c>
      <x:c r="J110" s="16" t="str">
        <x:v>Rabi demand window</x:v>
      </x:c>
      <x:c r="K110" s="39" t="n">
        <x:v>1035</x:v>
      </x:c>
      <x:c r="L110" s="16" t="n">
        <x:v>0</x:v>
      </x:c>
      <x:c r="M110" s="16" t="str"/>
      <x:c r="N110" s="16" t="str">
        <x:v>Train</x:v>
      </x:c>
    </x:row>
    <x:row r="111">
      <x:c r="A111" s="38" t="n">
        <x:v>45677</x:v>
      </x:c>
      <x:c r="B111" s="16" t="str">
        <x:v>Engro Urea - 50 kg bag</x:v>
      </x:c>
      <x:c r="C111" s="39" t="n">
        <x:v>977000</x:v>
      </x:c>
      <x:c r="D111" s="39" t="n">
        <x:f>C111*0.05</x:f>
        <x:v>48850</x:v>
      </x:c>
      <x:c r="E111" s="39" t="n">
        <x:v>1069000</x:v>
      </x:c>
      <x:c r="F111" s="39" t="n">
        <x:v>4320</x:v>
      </x:c>
      <x:c r="G111" s="39" t="n">
        <x:v>0</x:v>
      </x:c>
      <x:c r="H111" s="40" t="n">
        <x:v>0</x:v>
      </x:c>
      <x:c r="I111" s="16" t="n">
        <x:v>1</x:v>
      </x:c>
      <x:c r="J111" s="16" t="str">
        <x:v>Rabi demand window</x:v>
      </x:c>
      <x:c r="K111" s="39" t="n">
        <x:v>1001</x:v>
      </x:c>
      <x:c r="L111" s="16" t="n">
        <x:v>0</x:v>
      </x:c>
      <x:c r="M111" s="16" t="str"/>
      <x:c r="N111" s="16" t="str">
        <x:v>Train</x:v>
      </x:c>
    </x:row>
    <x:row r="112">
      <x:c r="A112" s="38" t="n">
        <x:v>45684</x:v>
      </x:c>
      <x:c r="B112" s="16" t="str">
        <x:v>Engro Urea - 50 kg bag</x:v>
      </x:c>
      <x:c r="C112" s="39" t="n">
        <x:v>1095000</x:v>
      </x:c>
      <x:c r="D112" s="39" t="n">
        <x:f>C112*0.05</x:f>
        <x:v>54750</x:v>
      </x:c>
      <x:c r="E112" s="39" t="n">
        <x:v>986000</x:v>
      </x:c>
      <x:c r="F112" s="39" t="n">
        <x:v>4280</x:v>
      </x:c>
      <x:c r="G112" s="39" t="n">
        <x:v>1</x:v>
      </x:c>
      <x:c r="H112" s="40" t="n">
        <x:v>0.06</x:v>
      </x:c>
      <x:c r="I112" s="16" t="n">
        <x:v>1</x:v>
      </x:c>
      <x:c r="J112" s="16" t="str">
        <x:v>Rabi demand window</x:v>
      </x:c>
      <x:c r="K112" s="39" t="n">
        <x:v>1011</x:v>
      </x:c>
      <x:c r="L112" s="16" t="n">
        <x:v>0</x:v>
      </x:c>
      <x:c r="M112" s="16" t="str"/>
      <x:c r="N112" s="16" t="str">
        <x:v>Train</x:v>
      </x:c>
    </x:row>
    <x:row r="113">
      <x:c r="A113" s="38" t="n">
        <x:v>45691</x:v>
      </x:c>
      <x:c r="B113" s="16" t="str">
        <x:v>Engro Urea - 50 kg bag</x:v>
      </x:c>
      <x:c r="C113" s="39" t="n">
        <x:v>816000</x:v>
      </x:c>
      <x:c r="D113" s="39" t="n">
        <x:f>C113*0.05</x:f>
        <x:v>40800</x:v>
      </x:c>
      <x:c r="E113" s="39" t="n">
        <x:v>1048000</x:v>
      </x:c>
      <x:c r="F113" s="39" t="n">
        <x:v>4360</x:v>
      </x:c>
      <x:c r="G113" s="39" t="n">
        <x:v>0</x:v>
      </x:c>
      <x:c r="H113" s="40" t="n">
        <x:v>0</x:v>
      </x:c>
      <x:c r="I113" s="16" t="n">
        <x:v>0</x:v>
      </x:c>
      <x:c r="J113" s="16" t="str">
        <x:v>Rabi demand window</x:v>
      </x:c>
      <x:c r="K113" s="39" t="n">
        <x:v>1029</x:v>
      </x:c>
      <x:c r="L113" s="16" t="n">
        <x:v>0</x:v>
      </x:c>
      <x:c r="M113" s="16" t="str"/>
      <x:c r="N113" s="16" t="str">
        <x:v>Train</x:v>
      </x:c>
    </x:row>
    <x:row r="114">
      <x:c r="A114" s="38" t="n">
        <x:v>45698</x:v>
      </x:c>
      <x:c r="B114" s="16" t="str">
        <x:v>Engro Urea - 50 kg bag</x:v>
      </x:c>
      <x:c r="C114" s="39" t="n">
        <x:v>620000</x:v>
      </x:c>
      <x:c r="D114" s="39" t="n">
        <x:f>C114*0.05</x:f>
        <x:v>31000</x:v>
      </x:c>
      <x:c r="E114" s="39" t="n">
        <x:v>779000</x:v>
      </x:c>
      <x:c r="F114" s="39" t="n">
        <x:v>4280</x:v>
      </x:c>
      <x:c r="G114" s="39" t="n">
        <x:v>0</x:v>
      </x:c>
      <x:c r="H114" s="40" t="n">
        <x:v>0</x:v>
      </x:c>
      <x:c r="I114" s="16" t="n">
        <x:v>0</x:v>
      </x:c>
      <x:c r="J114" s="16" t="str">
        <x:v>Rabi demand window</x:v>
      </x:c>
      <x:c r="K114" s="39" t="n">
        <x:v>1030</x:v>
      </x:c>
      <x:c r="L114" s="16" t="n">
        <x:v>1</x:v>
      </x:c>
      <x:c r="M114" s="16" t="str"/>
      <x:c r="N114" s="16" t="str">
        <x:v>Train</x:v>
      </x:c>
    </x:row>
    <x:row r="115">
      <x:c r="A115" s="38" t="n">
        <x:v>45705</x:v>
      </x:c>
      <x:c r="B115" s="16" t="str">
        <x:v>Engro Urea - 50 kg bag</x:v>
      </x:c>
      <x:c r="C115" s="39" t="n">
        <x:v>842000</x:v>
      </x:c>
      <x:c r="D115" s="39" t="n">
        <x:f>C115*0.05</x:f>
        <x:v>42100</x:v>
      </x:c>
      <x:c r="E115" s="39" t="n">
        <x:v>629000</x:v>
      </x:c>
      <x:c r="F115" s="39" t="n">
        <x:v>4340</x:v>
      </x:c>
      <x:c r="G115" s="39" t="n">
        <x:v>0</x:v>
      </x:c>
      <x:c r="H115" s="40" t="n">
        <x:v>0</x:v>
      </x:c>
      <x:c r="I115" s="16" t="n">
        <x:v>0</x:v>
      </x:c>
      <x:c r="J115" s="16" t="str">
        <x:v>Rabi demand window</x:v>
      </x:c>
      <x:c r="K115" s="39" t="n">
        <x:v>1041</x:v>
      </x:c>
      <x:c r="L115" s="16" t="n">
        <x:v>0</x:v>
      </x:c>
      <x:c r="M115" s="16" t="str"/>
      <x:c r="N115" s="16" t="str">
        <x:v>Train</x:v>
      </x:c>
    </x:row>
    <x:row r="116">
      <x:c r="A116" s="38" t="n">
        <x:v>45712</x:v>
      </x:c>
      <x:c r="B116" s="16" t="str">
        <x:v>Engro Urea - 50 kg bag</x:v>
      </x:c>
      <x:c r="C116" s="39" t="n">
        <x:v>900000</x:v>
      </x:c>
      <x:c r="D116" s="39" t="n">
        <x:f>C116*0.05</x:f>
        <x:v>45000</x:v>
      </x:c>
      <x:c r="E116" s="39" t="n">
        <x:v>816000</x:v>
      </x:c>
      <x:c r="F116" s="39" t="n">
        <x:v>4320</x:v>
      </x:c>
      <x:c r="G116" s="39" t="n">
        <x:v>1</x:v>
      </x:c>
      <x:c r="H116" s="40" t="n">
        <x:v>0.02</x:v>
      </x:c>
      <x:c r="I116" s="16" t="n">
        <x:v>0</x:v>
      </x:c>
      <x:c r="J116" s="16" t="str">
        <x:v>Rabi demand window</x:v>
      </x:c>
      <x:c r="K116" s="39" t="n">
        <x:v>1027</x:v>
      </x:c>
      <x:c r="L116" s="16" t="n">
        <x:v>0</x:v>
      </x:c>
      <x:c r="M116" s="16" t="str"/>
      <x:c r="N116" s="16" t="str">
        <x:v>Train</x:v>
      </x:c>
    </x:row>
    <x:row r="117">
      <x:c r="A117" s="38" t="n">
        <x:v>45719</x:v>
      </x:c>
      <x:c r="B117" s="16" t="str">
        <x:v>Engro Urea - 50 kg bag</x:v>
      </x:c>
      <x:c r="C117" s="39" t="n">
        <x:v>741000</x:v>
      </x:c>
      <x:c r="D117" s="39" t="n">
        <x:f>C117*0.05</x:f>
        <x:v>37050</x:v>
      </x:c>
      <x:c r="E117" s="39" t="n">
        <x:v>873000</x:v>
      </x:c>
      <x:c r="F117" s="39" t="n">
        <x:v>4300</x:v>
      </x:c>
      <x:c r="G117" s="39" t="n">
        <x:v>0</x:v>
      </x:c>
      <x:c r="H117" s="40" t="n">
        <x:v>0</x:v>
      </x:c>
      <x:c r="I117" s="16" t="n">
        <x:v>0</x:v>
      </x:c>
      <x:c r="J117" s="16" t="str">
        <x:v>Normal / shoulder period</x:v>
      </x:c>
      <x:c r="K117" s="39" t="n">
        <x:v>1022</x:v>
      </x:c>
      <x:c r="L117" s="16" t="n">
        <x:v>0</x:v>
      </x:c>
      <x:c r="M117" s="16" t="str"/>
      <x:c r="N117" s="16" t="str">
        <x:v>Train</x:v>
      </x:c>
    </x:row>
    <x:row r="118">
      <x:c r="A118" s="38" t="n">
        <x:v>45726</x:v>
      </x:c>
      <x:c r="B118" s="16" t="str">
        <x:v>Engro Urea - 50 kg bag</x:v>
      </x:c>
      <x:c r="C118" s="39" t="n">
        <x:v>763000</x:v>
      </x:c>
      <x:c r="D118" s="39" t="n">
        <x:f>C118*0.05</x:f>
        <x:v>38150</x:v>
      </x:c>
      <x:c r="E118" s="39" t="n">
        <x:v>695000</x:v>
      </x:c>
      <x:c r="F118" s="39" t="n">
        <x:v>4360</x:v>
      </x:c>
      <x:c r="G118" s="39" t="n">
        <x:v>0</x:v>
      </x:c>
      <x:c r="H118" s="40" t="n">
        <x:v>0</x:v>
      </x:c>
      <x:c r="I118" s="16" t="n">
        <x:v>0</x:v>
      </x:c>
      <x:c r="J118" s="16" t="str">
        <x:v>Normal / shoulder period</x:v>
      </x:c>
      <x:c r="K118" s="39" t="n">
        <x:v>1047</x:v>
      </x:c>
      <x:c r="L118" s="16" t="n">
        <x:v>0</x:v>
      </x:c>
      <x:c r="M118" s="16" t="str"/>
      <x:c r="N118" s="16" t="str">
        <x:v>Train</x:v>
      </x:c>
    </x:row>
    <x:row r="119">
      <x:c r="A119" s="38" t="n">
        <x:v>45733</x:v>
      </x:c>
      <x:c r="B119" s="16" t="str">
        <x:v>Engro Urea - 50 kg bag</x:v>
      </x:c>
      <x:c r="C119" s="39" t="n">
        <x:v>700000</x:v>
      </x:c>
      <x:c r="D119" s="39" t="n">
        <x:f>C119*0.05</x:f>
        <x:v>35000</x:v>
      </x:c>
      <x:c r="E119" s="39" t="n">
        <x:v>733000</x:v>
      </x:c>
      <x:c r="F119" s="39" t="n">
        <x:v>4320</x:v>
      </x:c>
      <x:c r="G119" s="39" t="n">
        <x:v>0</x:v>
      </x:c>
      <x:c r="H119" s="40" t="n">
        <x:v>0</x:v>
      </x:c>
      <x:c r="I119" s="16" t="n">
        <x:v>0</x:v>
      </x:c>
      <x:c r="J119" s="16" t="str">
        <x:v>Normal / shoulder period</x:v>
      </x:c>
      <x:c r="K119" s="39" t="n">
        <x:v>1020</x:v>
      </x:c>
      <x:c r="L119" s="16" t="n">
        <x:v>0</x:v>
      </x:c>
      <x:c r="M119" s="16" t="str"/>
      <x:c r="N119" s="16" t="str">
        <x:v>Train</x:v>
      </x:c>
    </x:row>
    <x:row r="120">
      <x:c r="A120" s="38" t="n">
        <x:v>45740</x:v>
      </x:c>
      <x:c r="B120" s="16" t="str">
        <x:v>Engro Urea - 50 kg bag</x:v>
      </x:c>
      <x:c r="C120" s="39" t="n">
        <x:v>793000</x:v>
      </x:c>
      <x:c r="D120" s="39" t="n">
        <x:f>C120*0.05</x:f>
        <x:v>39650</x:v>
      </x:c>
      <x:c r="E120" s="39" t="n">
        <x:v>658000</x:v>
      </x:c>
      <x:c r="F120" s="39" t="n">
        <x:v>4280</x:v>
      </x:c>
      <x:c r="G120" s="39" t="n">
        <x:v>0</x:v>
      </x:c>
      <x:c r="H120" s="40" t="n">
        <x:v>0</x:v>
      </x:c>
      <x:c r="I120" s="16" t="n">
        <x:v>0</x:v>
      </x:c>
      <x:c r="J120" s="16" t="str">
        <x:v>Normal / shoulder period</x:v>
      </x:c>
      <x:c r="K120" s="39" t="n">
        <x:v>1022</x:v>
      </x:c>
      <x:c r="L120" s="16" t="n">
        <x:v>0</x:v>
      </x:c>
      <x:c r="M120" s="16" t="str"/>
      <x:c r="N120" s="16" t="str">
        <x:v>Train</x:v>
      </x:c>
    </x:row>
    <x:row r="121">
      <x:c r="A121" s="38" t="n">
        <x:v>45747</x:v>
      </x:c>
      <x:c r="B121" s="16" t="str">
        <x:v>Engro Urea - 50 kg bag</x:v>
      </x:c>
      <x:c r="C121" s="39" t="n">
        <x:v>717000</x:v>
      </x:c>
      <x:c r="D121" s="39" t="n">
        <x:f>C121*0.05</x:f>
        <x:v>35850</x:v>
      </x:c>
      <x:c r="E121" s="39" t="n">
        <x:v>771000</x:v>
      </x:c>
      <x:c r="F121" s="39" t="n">
        <x:v>4360</x:v>
      </x:c>
      <x:c r="G121" s="39" t="n">
        <x:v>0</x:v>
      </x:c>
      <x:c r="H121" s="40" t="n">
        <x:v>0</x:v>
      </x:c>
      <x:c r="I121" s="16" t="n">
        <x:v>0</x:v>
      </x:c>
      <x:c r="J121" s="16" t="str">
        <x:v>Normal / shoulder period</x:v>
      </x:c>
      <x:c r="K121" s="39" t="n">
        <x:v>1022</x:v>
      </x:c>
      <x:c r="L121" s="16" t="n">
        <x:v>0</x:v>
      </x:c>
      <x:c r="M121" s="16" t="str"/>
      <x:c r="N121" s="16" t="str">
        <x:v>Train</x:v>
      </x:c>
    </x:row>
    <x:row r="122">
      <x:c r="A122" s="38" t="n">
        <x:v>45754</x:v>
      </x:c>
      <x:c r="B122" s="16" t="str">
        <x:v>Engro Urea - 50 kg bag</x:v>
      </x:c>
      <x:c r="C122" s="39" t="n">
        <x:v>782000</x:v>
      </x:c>
      <x:c r="D122" s="39" t="n">
        <x:f>C122*0.05</x:f>
        <x:v>39100</x:v>
      </x:c>
      <x:c r="E122" s="39" t="n">
        <x:v>687000</x:v>
      </x:c>
      <x:c r="F122" s="39" t="n">
        <x:v>4440</x:v>
      </x:c>
      <x:c r="G122" s="39" t="n">
        <x:v>0</x:v>
      </x:c>
      <x:c r="H122" s="40" t="n">
        <x:v>0</x:v>
      </x:c>
      <x:c r="I122" s="16" t="n">
        <x:v>0</x:v>
      </x:c>
      <x:c r="J122" s="16" t="str">
        <x:v>Normal / shoulder period</x:v>
      </x:c>
      <x:c r="K122" s="39" t="n">
        <x:v>1027</x:v>
      </x:c>
      <x:c r="L122" s="16" t="n">
        <x:v>0</x:v>
      </x:c>
      <x:c r="M122" s="16" t="str"/>
      <x:c r="N122" s="16" t="str">
        <x:v>Train</x:v>
      </x:c>
    </x:row>
    <x:row r="123">
      <x:c r="A123" s="38" t="n">
        <x:v>45761</x:v>
      </x:c>
      <x:c r="B123" s="16" t="str">
        <x:v>Engro Urea - 50 kg bag</x:v>
      </x:c>
      <x:c r="C123" s="39" t="n">
        <x:v>738000</x:v>
      </x:c>
      <x:c r="D123" s="39" t="n">
        <x:f>C123*0.05</x:f>
        <x:v>36900</x:v>
      </x:c>
      <x:c r="E123" s="39" t="n">
        <x:v>715000</x:v>
      </x:c>
      <x:c r="F123" s="39" t="n">
        <x:v>4420</x:v>
      </x:c>
      <x:c r="G123" s="39" t="n">
        <x:v>0</x:v>
      </x:c>
      <x:c r="H123" s="40" t="n">
        <x:v>0</x:v>
      </x:c>
      <x:c r="I123" s="16" t="n">
        <x:v>0</x:v>
      </x:c>
      <x:c r="J123" s="16" t="str">
        <x:v>Normal / shoulder period</x:v>
      </x:c>
      <x:c r="K123" s="39" t="n">
        <x:v>1010</x:v>
      </x:c>
      <x:c r="L123" s="16" t="n">
        <x:v>0</x:v>
      </x:c>
      <x:c r="M123" s="16" t="str"/>
      <x:c r="N123" s="16" t="str">
        <x:v>Train</x:v>
      </x:c>
    </x:row>
    <x:row r="124">
      <x:c r="A124" s="38" t="n">
        <x:v>45768</x:v>
      </x:c>
      <x:c r="B124" s="16" t="str">
        <x:v>Engro Urea - 50 kg bag</x:v>
      </x:c>
      <x:c r="C124" s="39" t="n">
        <x:v>768000</x:v>
      </x:c>
      <x:c r="D124" s="39" t="n">
        <x:f>C124*0.05</x:f>
        <x:v>38400</x:v>
      </x:c>
      <x:c r="E124" s="39" t="n">
        <x:v>702000</x:v>
      </x:c>
      <x:c r="F124" s="39" t="n">
        <x:v>4440</x:v>
      </x:c>
      <x:c r="G124" s="39" t="n">
        <x:v>0</x:v>
      </x:c>
      <x:c r="H124" s="40" t="n">
        <x:v>0</x:v>
      </x:c>
      <x:c r="I124" s="16" t="n">
        <x:v>0</x:v>
      </x:c>
      <x:c r="J124" s="16" t="str">
        <x:v>Normal / shoulder period</x:v>
      </x:c>
      <x:c r="K124" s="39" t="n">
        <x:v>1021</x:v>
      </x:c>
      <x:c r="L124" s="16" t="n">
        <x:v>0</x:v>
      </x:c>
      <x:c r="M124" s="16" t="str"/>
      <x:c r="N124" s="16" t="str">
        <x:v>Train</x:v>
      </x:c>
    </x:row>
    <x:row r="125">
      <x:c r="A125" s="38" t="n">
        <x:v>45775</x:v>
      </x:c>
      <x:c r="B125" s="16" t="str">
        <x:v>Engro Urea - 50 kg bag</x:v>
      </x:c>
      <x:c r="C125" s="39" t="n">
        <x:v>755000</x:v>
      </x:c>
      <x:c r="D125" s="39" t="n">
        <x:f>C125*0.05</x:f>
        <x:v>37750</x:v>
      </x:c>
      <x:c r="E125" s="39" t="n">
        <x:v>706000</x:v>
      </x:c>
      <x:c r="F125" s="39" t="n">
        <x:v>4360</x:v>
      </x:c>
      <x:c r="G125" s="39" t="n">
        <x:v>0</x:v>
      </x:c>
      <x:c r="H125" s="40" t="n">
        <x:v>0</x:v>
      </x:c>
      <x:c r="I125" s="16" t="n">
        <x:v>0</x:v>
      </x:c>
      <x:c r="J125" s="16" t="str">
        <x:v>Normal / shoulder period</x:v>
      </x:c>
      <x:c r="K125" s="39" t="n">
        <x:v>1052</x:v>
      </x:c>
      <x:c r="L125" s="16" t="n">
        <x:v>0</x:v>
      </x:c>
      <x:c r="M125" s="16" t="str"/>
      <x:c r="N125" s="16" t="str">
        <x:v>Train</x:v>
      </x:c>
    </x:row>
    <x:row r="126">
      <x:c r="A126" s="38" t="n">
        <x:v>45782</x:v>
      </x:c>
      <x:c r="B126" s="16" t="str">
        <x:v>Engro Urea - 50 kg bag</x:v>
      </x:c>
      <x:c r="C126" s="39" t="n">
        <x:v>863000</x:v>
      </x:c>
      <x:c r="D126" s="39" t="n">
        <x:f>C126*0.05</x:f>
        <x:v>43150</x:v>
      </x:c>
      <x:c r="E126" s="39" t="n">
        <x:v>721000</x:v>
      </x:c>
      <x:c r="F126" s="39" t="n">
        <x:v>4440</x:v>
      </x:c>
      <x:c r="G126" s="39" t="n">
        <x:v>1</x:v>
      </x:c>
      <x:c r="H126" s="40" t="n">
        <x:v>0.06</x:v>
      </x:c>
      <x:c r="I126" s="16" t="n">
        <x:v>0</x:v>
      </x:c>
      <x:c r="J126" s="16" t="str">
        <x:v>Normal / shoulder period</x:v>
      </x:c>
      <x:c r="K126" s="39" t="n">
        <x:v>1033</x:v>
      </x:c>
      <x:c r="L126" s="16" t="n">
        <x:v>0</x:v>
      </x:c>
      <x:c r="M126" s="16" t="str"/>
      <x:c r="N126" s="16" t="str">
        <x:v>Train</x:v>
      </x:c>
    </x:row>
    <x:row r="127">
      <x:c r="A127" s="38" t="n">
        <x:v>45789</x:v>
      </x:c>
      <x:c r="B127" s="16" t="str">
        <x:v>Engro Urea - 50 kg bag</x:v>
      </x:c>
      <x:c r="C127" s="39" t="n">
        <x:v>770000</x:v>
      </x:c>
      <x:c r="D127" s="39" t="n">
        <x:f>C127*0.05</x:f>
        <x:v>38500</x:v>
      </x:c>
      <x:c r="E127" s="39" t="n">
        <x:v>862000</x:v>
      </x:c>
      <x:c r="F127" s="39" t="n">
        <x:v>4400</x:v>
      </x:c>
      <x:c r="G127" s="39" t="n">
        <x:v>0</x:v>
      </x:c>
      <x:c r="H127" s="40" t="n">
        <x:v>0</x:v>
      </x:c>
      <x:c r="I127" s="16" t="n">
        <x:v>0</x:v>
      </x:c>
      <x:c r="J127" s="16" t="str">
        <x:v>Normal / shoulder period</x:v>
      </x:c>
      <x:c r="K127" s="39" t="n">
        <x:v>1036</x:v>
      </x:c>
      <x:c r="L127" s="16" t="n">
        <x:v>0</x:v>
      </x:c>
      <x:c r="M127" s="16" t="str"/>
      <x:c r="N127" s="16" t="str">
        <x:v>Train</x:v>
      </x:c>
    </x:row>
    <x:row r="128">
      <x:c r="A128" s="38" t="n">
        <x:v>45796</x:v>
      </x:c>
      <x:c r="B128" s="16" t="str">
        <x:v>Engro Urea - 50 kg bag</x:v>
      </x:c>
      <x:c r="C128" s="39" t="n">
        <x:v>808000</x:v>
      </x:c>
      <x:c r="D128" s="39" t="n">
        <x:f>C128*0.05</x:f>
        <x:v>40400</x:v>
      </x:c>
      <x:c r="E128" s="39" t="n">
        <x:v>754000</x:v>
      </x:c>
      <x:c r="F128" s="39" t="n">
        <x:v>4440</x:v>
      </x:c>
      <x:c r="G128" s="39" t="n">
        <x:v>0</x:v>
      </x:c>
      <x:c r="H128" s="40" t="n">
        <x:v>0</x:v>
      </x:c>
      <x:c r="I128" s="16" t="n">
        <x:v>0</x:v>
      </x:c>
      <x:c r="J128" s="16" t="str">
        <x:v>Normal / shoulder period</x:v>
      </x:c>
      <x:c r="K128" s="39" t="n">
        <x:v>1028</x:v>
      </x:c>
      <x:c r="L128" s="16" t="n">
        <x:v>0</x:v>
      </x:c>
      <x:c r="M128" s="16" t="str"/>
      <x:c r="N128" s="16" t="str">
        <x:v>Train</x:v>
      </x:c>
    </x:row>
    <x:row r="129">
      <x:c r="A129" s="38" t="n">
        <x:v>45803</x:v>
      </x:c>
      <x:c r="B129" s="16" t="str">
        <x:v>Engro Urea - 50 kg bag</x:v>
      </x:c>
      <x:c r="C129" s="39" t="n">
        <x:v>788000</x:v>
      </x:c>
      <x:c r="D129" s="39" t="n">
        <x:f>C129*0.05</x:f>
        <x:v>39400</x:v>
      </x:c>
      <x:c r="E129" s="39" t="n">
        <x:v>816000</x:v>
      </x:c>
      <x:c r="F129" s="39" t="n">
        <x:v>4400</x:v>
      </x:c>
      <x:c r="G129" s="39" t="n">
        <x:v>0</x:v>
      </x:c>
      <x:c r="H129" s="40" t="n">
        <x:v>0</x:v>
      </x:c>
      <x:c r="I129" s="16" t="n">
        <x:v>0</x:v>
      </x:c>
      <x:c r="J129" s="16" t="str">
        <x:v>Normal / shoulder period</x:v>
      </x:c>
      <x:c r="K129" s="39" t="n">
        <x:v>1024</x:v>
      </x:c>
      <x:c r="L129" s="16" t="n">
        <x:v>0</x:v>
      </x:c>
      <x:c r="M129" s="16" t="str"/>
      <x:c r="N129" s="16" t="str">
        <x:v>Train</x:v>
      </x:c>
    </x:row>
    <x:row r="130">
      <x:c r="A130" s="38" t="n">
        <x:v>45810</x:v>
      </x:c>
      <x:c r="B130" s="16" t="str">
        <x:v>Engro Urea - 50 kg bag</x:v>
      </x:c>
      <x:c r="C130" s="39" t="n">
        <x:v>1172000</x:v>
      </x:c>
      <x:c r="D130" s="39" t="n">
        <x:f>C130*0.05</x:f>
        <x:v>58600</x:v>
      </x:c>
      <x:c r="E130" s="39" t="n">
        <x:v>798000</x:v>
      </x:c>
      <x:c r="F130" s="39" t="n">
        <x:v>4420</x:v>
      </x:c>
      <x:c r="G130" s="39" t="n">
        <x:v>1</x:v>
      </x:c>
      <x:c r="H130" s="40" t="n">
        <x:v>0.03</x:v>
      </x:c>
      <x:c r="I130" s="16" t="n">
        <x:v>1</x:v>
      </x:c>
      <x:c r="J130" s="16" t="str">
        <x:v>Kharif demand window</x:v>
      </x:c>
      <x:c r="K130" s="39" t="n">
        <x:v>1037</x:v>
      </x:c>
      <x:c r="L130" s="16" t="n">
        <x:v>0</x:v>
      </x:c>
      <x:c r="M130" s="16" t="str"/>
      <x:c r="N130" s="16" t="str">
        <x:v>Train</x:v>
      </x:c>
    </x:row>
    <x:row r="131">
      <x:c r="A131" s="38" t="n">
        <x:v>45817</x:v>
      </x:c>
      <x:c r="B131" s="16" t="str">
        <x:v>Engro Urea - 50 kg bag</x:v>
      </x:c>
      <x:c r="C131" s="39" t="n">
        <x:v>1162000</x:v>
      </x:c>
      <x:c r="D131" s="39" t="n">
        <x:f>C131*0.05</x:f>
        <x:v>58100</x:v>
      </x:c>
      <x:c r="E131" s="39" t="n">
        <x:v>1244000</x:v>
      </x:c>
      <x:c r="F131" s="39" t="n">
        <x:v>4400</x:v>
      </x:c>
      <x:c r="G131" s="39" t="n">
        <x:v>1</x:v>
      </x:c>
      <x:c r="H131" s="40" t="n">
        <x:v>0.04</x:v>
      </x:c>
      <x:c r="I131" s="16" t="n">
        <x:v>1</x:v>
      </x:c>
      <x:c r="J131" s="16" t="str">
        <x:v>Kharif demand window</x:v>
      </x:c>
      <x:c r="K131" s="39" t="n">
        <x:v>1026</x:v>
      </x:c>
      <x:c r="L131" s="16" t="n">
        <x:v>0</x:v>
      </x:c>
      <x:c r="M131" s="16" t="str"/>
      <x:c r="N131" s="16" t="str">
        <x:v>Train</x:v>
      </x:c>
    </x:row>
    <x:row r="132">
      <x:c r="A132" s="38" t="n">
        <x:v>45824</x:v>
      </x:c>
      <x:c r="B132" s="16" t="str">
        <x:v>Engro Urea - 50 kg bag</x:v>
      </x:c>
      <x:c r="C132" s="39" t="n">
        <x:v>978000</x:v>
      </x:c>
      <x:c r="D132" s="39" t="n">
        <x:f>C132*0.05</x:f>
        <x:v>48900</x:v>
      </x:c>
      <x:c r="E132" s="39" t="n">
        <x:v>1179000</x:v>
      </x:c>
      <x:c r="F132" s="39" t="n">
        <x:v>4400</x:v>
      </x:c>
      <x:c r="G132" s="39" t="n">
        <x:v>0</x:v>
      </x:c>
      <x:c r="H132" s="40" t="n">
        <x:v>0</x:v>
      </x:c>
      <x:c r="I132" s="16" t="n">
        <x:v>1</x:v>
      </x:c>
      <x:c r="J132" s="16" t="str">
        <x:v>Kharif demand window</x:v>
      </x:c>
      <x:c r="K132" s="39" t="n">
        <x:v>1046</x:v>
      </x:c>
      <x:c r="L132" s="16" t="n">
        <x:v>0</x:v>
      </x:c>
      <x:c r="M132" s="16" t="str"/>
      <x:c r="N132" s="16" t="str">
        <x:v>Train</x:v>
      </x:c>
    </x:row>
    <x:row r="133">
      <x:c r="A133" s="38" t="n">
        <x:v>45831</x:v>
      </x:c>
      <x:c r="B133" s="16" t="str">
        <x:v>Engro Urea - 50 kg bag</x:v>
      </x:c>
      <x:c r="C133" s="39" t="n">
        <x:v>1043000</x:v>
      </x:c>
      <x:c r="D133" s="39" t="n">
        <x:f>C133*0.05</x:f>
        <x:v>52150</x:v>
      </x:c>
      <x:c r="E133" s="39" t="n">
        <x:v>1014000</x:v>
      </x:c>
      <x:c r="F133" s="39" t="n">
        <x:v>4360</x:v>
      </x:c>
      <x:c r="G133" s="39" t="n">
        <x:v>0</x:v>
      </x:c>
      <x:c r="H133" s="40" t="n">
        <x:v>0</x:v>
      </x:c>
      <x:c r="I133" s="16" t="n">
        <x:v>1</x:v>
      </x:c>
      <x:c r="J133" s="16" t="str">
        <x:v>Kharif demand window</x:v>
      </x:c>
      <x:c r="K133" s="39" t="n">
        <x:v>1042</x:v>
      </x:c>
      <x:c r="L133" s="16" t="n">
        <x:v>0</x:v>
      </x:c>
      <x:c r="M133" s="16" t="str"/>
      <x:c r="N133" s="16" t="str">
        <x:v>Train</x:v>
      </x:c>
    </x:row>
    <x:row r="134">
      <x:c r="A134" s="38" t="n">
        <x:v>45838</x:v>
      </x:c>
      <x:c r="B134" s="16" t="str">
        <x:v>Engro Urea - 50 kg bag</x:v>
      </x:c>
      <x:c r="C134" s="39" t="n">
        <x:v>791000</x:v>
      </x:c>
      <x:c r="D134" s="39" t="n">
        <x:f>C134*0.05</x:f>
        <x:v>39550</x:v>
      </x:c>
      <x:c r="E134" s="39" t="n">
        <x:v>1053000</x:v>
      </x:c>
      <x:c r="F134" s="39" t="n">
        <x:v>4360</x:v>
      </x:c>
      <x:c r="G134" s="39" t="n">
        <x:v>0</x:v>
      </x:c>
      <x:c r="H134" s="40" t="n">
        <x:v>0</x:v>
      </x:c>
      <x:c r="I134" s="16" t="n">
        <x:v>1</x:v>
      </x:c>
      <x:c r="J134" s="16" t="str">
        <x:v>Kharif demand window</x:v>
      </x:c>
      <x:c r="K134" s="39" t="n">
        <x:v>1006</x:v>
      </x:c>
      <x:c r="L134" s="16" t="n">
        <x:v>1</x:v>
      </x:c>
      <x:c r="M134" s="16" t="str"/>
      <x:c r="N134" s="16" t="str">
        <x:v>Train</x:v>
      </x:c>
    </x:row>
    <x:row r="135">
      <x:c r="A135" s="38" t="n">
        <x:v>45845</x:v>
      </x:c>
      <x:c r="B135" s="16" t="str">
        <x:v>Engro Urea - 50 kg bag</x:v>
      </x:c>
      <x:c r="C135" s="39" t="n">
        <x:v>1057000</x:v>
      </x:c>
      <x:c r="D135" s="39" t="n">
        <x:f>C135*0.05</x:f>
        <x:v>52850</x:v>
      </x:c>
      <x:c r="E135" s="39" t="n">
        <x:v>839000</x:v>
      </x:c>
      <x:c r="F135" s="39" t="n">
        <x:v>4260</x:v>
      </x:c>
      <x:c r="G135" s="39" t="n">
        <x:v>0</x:v>
      </x:c>
      <x:c r="H135" s="40" t="n">
        <x:v>0</x:v>
      </x:c>
      <x:c r="I135" s="16" t="n">
        <x:v>1</x:v>
      </x:c>
      <x:c r="J135" s="16" t="str">
        <x:v>Kharif demand window</x:v>
      </x:c>
      <x:c r="K135" s="39" t="n">
        <x:v>1035</x:v>
      </x:c>
      <x:c r="L135" s="16" t="n">
        <x:v>0</x:v>
      </x:c>
      <x:c r="M135" s="16" t="str"/>
      <x:c r="N135" s="16" t="str">
        <x:v>Train</x:v>
      </x:c>
    </x:row>
    <x:row r="136">
      <x:c r="A136" s="38" t="n">
        <x:v>45852</x:v>
      </x:c>
      <x:c r="B136" s="16" t="str">
        <x:v>Engro Urea - 50 kg bag</x:v>
      </x:c>
      <x:c r="C136" s="39" t="n">
        <x:v>1075000</x:v>
      </x:c>
      <x:c r="D136" s="39" t="n">
        <x:f>C136*0.05</x:f>
        <x:v>53750</x:v>
      </x:c>
      <x:c r="E136" s="39" t="n">
        <x:v>1134000</x:v>
      </x:c>
      <x:c r="F136" s="39" t="n">
        <x:v>4280</x:v>
      </x:c>
      <x:c r="G136" s="39" t="n">
        <x:v>0</x:v>
      </x:c>
      <x:c r="H136" s="40" t="n">
        <x:v>0</x:v>
      </x:c>
      <x:c r="I136" s="16" t="n">
        <x:v>1</x:v>
      </x:c>
      <x:c r="J136" s="16" t="str">
        <x:v>Kharif demand window</x:v>
      </x:c>
      <x:c r="K136" s="39" t="n">
        <x:v>1047</x:v>
      </x:c>
      <x:c r="L136" s="16" t="n">
        <x:v>0</x:v>
      </x:c>
      <x:c r="M136" s="16" t="str"/>
      <x:c r="N136" s="16" t="str">
        <x:v>Train</x:v>
      </x:c>
    </x:row>
    <x:row r="137">
      <x:c r="A137" s="38" t="n">
        <x:v>45859</x:v>
      </x:c>
      <x:c r="B137" s="16" t="str">
        <x:v>Engro Urea - 50 kg bag</x:v>
      </x:c>
      <x:c r="C137" s="39" t="n">
        <x:v>1163000</x:v>
      </x:c>
      <x:c r="D137" s="39" t="n">
        <x:f>C137*0.05</x:f>
        <x:v>58150</x:v>
      </x:c>
      <x:c r="E137" s="39" t="n">
        <x:v>1102000</x:v>
      </x:c>
      <x:c r="F137" s="39" t="n">
        <x:v>4280</x:v>
      </x:c>
      <x:c r="G137" s="39" t="n">
        <x:v>0</x:v>
      </x:c>
      <x:c r="H137" s="40" t="n">
        <x:v>0</x:v>
      </x:c>
      <x:c r="I137" s="16" t="n">
        <x:v>1</x:v>
      </x:c>
      <x:c r="J137" s="16" t="str">
        <x:v>Kharif demand window</x:v>
      </x:c>
      <x:c r="K137" s="39" t="n">
        <x:v>1049</x:v>
      </x:c>
      <x:c r="L137" s="16" t="n">
        <x:v>0</x:v>
      </x:c>
      <x:c r="M137" s="16" t="str"/>
      <x:c r="N137" s="16" t="str">
        <x:v>Train</x:v>
      </x:c>
    </x:row>
    <x:row r="138">
      <x:c r="A138" s="38" t="n">
        <x:v>45866</x:v>
      </x:c>
      <x:c r="B138" s="16" t="str">
        <x:v>Engro Urea - 50 kg bag</x:v>
      </x:c>
      <x:c r="C138" s="39" t="n">
        <x:v>1064000</x:v>
      </x:c>
      <x:c r="D138" s="39" t="n">
        <x:f>C138*0.05</x:f>
        <x:v>53200</x:v>
      </x:c>
      <x:c r="E138" s="39" t="n">
        <x:v>1231000</x:v>
      </x:c>
      <x:c r="F138" s="39" t="n">
        <x:v>4260</x:v>
      </x:c>
      <x:c r="G138" s="39" t="n">
        <x:v>0</x:v>
      </x:c>
      <x:c r="H138" s="40" t="n">
        <x:v>0</x:v>
      </x:c>
      <x:c r="I138" s="16" t="n">
        <x:v>1</x:v>
      </x:c>
      <x:c r="J138" s="16" t="str">
        <x:v>Kharif demand window</x:v>
      </x:c>
      <x:c r="K138" s="39" t="n">
        <x:v>1046</x:v>
      </x:c>
      <x:c r="L138" s="16" t="n">
        <x:v>0</x:v>
      </x:c>
      <x:c r="M138" s="16" t="str"/>
      <x:c r="N138" s="16" t="str">
        <x:v>Train</x:v>
      </x:c>
    </x:row>
    <x:row r="139">
      <x:c r="A139" s="38" t="n">
        <x:v>45873</x:v>
      </x:c>
      <x:c r="B139" s="16" t="str">
        <x:v>Engro Urea - 50 kg bag</x:v>
      </x:c>
      <x:c r="C139" s="39" t="n">
        <x:v>962000</x:v>
      </x:c>
      <x:c r="D139" s="39" t="n">
        <x:f>C139*0.05</x:f>
        <x:v>48100</x:v>
      </x:c>
      <x:c r="E139" s="39" t="n">
        <x:v>1109000</x:v>
      </x:c>
      <x:c r="F139" s="39" t="n">
        <x:v>4280</x:v>
      </x:c>
      <x:c r="G139" s="39" t="n">
        <x:v>0</x:v>
      </x:c>
      <x:c r="H139" s="40" t="n">
        <x:v>0</x:v>
      </x:c>
      <x:c r="I139" s="16" t="n">
        <x:v>1</x:v>
      </x:c>
      <x:c r="J139" s="16" t="str">
        <x:v>Kharif demand window</x:v>
      </x:c>
      <x:c r="K139" s="39" t="n">
        <x:v>1052</x:v>
      </x:c>
      <x:c r="L139" s="16" t="n">
        <x:v>0</x:v>
      </x:c>
      <x:c r="M139" s="16" t="str"/>
      <x:c r="N139" s="16" t="str">
        <x:v>Train</x:v>
      </x:c>
    </x:row>
    <x:row r="140">
      <x:c r="A140" s="38" t="n">
        <x:v>45880</x:v>
      </x:c>
      <x:c r="B140" s="16" t="str">
        <x:v>Engro Urea - 50 kg bag</x:v>
      </x:c>
      <x:c r="C140" s="39" t="n">
        <x:v>1166000</x:v>
      </x:c>
      <x:c r="D140" s="39" t="n">
        <x:f>C140*0.05</x:f>
        <x:v>58300</x:v>
      </x:c>
      <x:c r="E140" s="39" t="n">
        <x:v>960000</x:v>
      </x:c>
      <x:c r="F140" s="39" t="n">
        <x:v>4300</x:v>
      </x:c>
      <x:c r="G140" s="39" t="n">
        <x:v>1</x:v>
      </x:c>
      <x:c r="H140" s="40" t="n">
        <x:v>0.03</x:v>
      </x:c>
      <x:c r="I140" s="16" t="n">
        <x:v>1</x:v>
      </x:c>
      <x:c r="J140" s="16" t="str">
        <x:v>Kharif demand window</x:v>
      </x:c>
      <x:c r="K140" s="39" t="n">
        <x:v>1024</x:v>
      </x:c>
      <x:c r="L140" s="16" t="n">
        <x:v>0</x:v>
      </x:c>
      <x:c r="M140" s="16" t="str"/>
      <x:c r="N140" s="16" t="str">
        <x:v>Train</x:v>
      </x:c>
    </x:row>
    <x:row r="141">
      <x:c r="A141" s="38" t="n">
        <x:v>45887</x:v>
      </x:c>
      <x:c r="B141" s="16" t="str">
        <x:v>Engro Urea - 50 kg bag</x:v>
      </x:c>
      <x:c r="C141" s="39" t="n">
        <x:v>934000</x:v>
      </x:c>
      <x:c r="D141" s="39" t="n">
        <x:f>C141*0.05</x:f>
        <x:v>46700</x:v>
      </x:c>
      <x:c r="E141" s="39" t="n">
        <x:v>1243000</x:v>
      </x:c>
      <x:c r="F141" s="39" t="n">
        <x:v>4320</x:v>
      </x:c>
      <x:c r="G141" s="39" t="n">
        <x:v>0</x:v>
      </x:c>
      <x:c r="H141" s="40" t="n">
        <x:v>0</x:v>
      </x:c>
      <x:c r="I141" s="16" t="n">
        <x:v>1</x:v>
      </x:c>
      <x:c r="J141" s="16" t="str">
        <x:v>Kharif demand window</x:v>
      </x:c>
      <x:c r="K141" s="39" t="n">
        <x:v>1068</x:v>
      </x:c>
      <x:c r="L141" s="16" t="n">
        <x:v>0</x:v>
      </x:c>
      <x:c r="M141" s="16" t="str">
        <x:v>Temporary dispatch bottleneck</x:v>
      </x:c>
      <x:c r="N141" s="16" t="str">
        <x:v>Train</x:v>
      </x:c>
    </x:row>
    <x:row r="142">
      <x:c r="A142" s="38" t="n">
        <x:v>45894</x:v>
      </x:c>
      <x:c r="B142" s="16" t="str">
        <x:v>Engro Urea - 50 kg bag</x:v>
      </x:c>
      <x:c r="C142" s="39" t="n">
        <x:v>1035000</x:v>
      </x:c>
      <x:c r="D142" s="39" t="n">
        <x:f>C142*0.05</x:f>
        <x:v>51750</x:v>
      </x:c>
      <x:c r="E142" s="39" t="n">
        <x:v>954000</x:v>
      </x:c>
      <x:c r="F142" s="39" t="n">
        <x:v>4300</x:v>
      </x:c>
      <x:c r="G142" s="39" t="n">
        <x:v>0</x:v>
      </x:c>
      <x:c r="H142" s="40" t="n">
        <x:v>0</x:v>
      </x:c>
      <x:c r="I142" s="16" t="n">
        <x:v>1</x:v>
      </x:c>
      <x:c r="J142" s="16" t="str">
        <x:v>Kharif demand window</x:v>
      </x:c>
      <x:c r="K142" s="39" t="n">
        <x:v>1042</x:v>
      </x:c>
      <x:c r="L142" s="16" t="n">
        <x:v>0</x:v>
      </x:c>
      <x:c r="M142" s="16" t="str"/>
      <x:c r="N142" s="16" t="str">
        <x:v>Train</x:v>
      </x:c>
    </x:row>
    <x:row r="143">
      <x:c r="A143" s="38" t="n">
        <x:v>45901</x:v>
      </x:c>
      <x:c r="B143" s="16" t="str">
        <x:v>Engro Urea - 50 kg bag</x:v>
      </x:c>
      <x:c r="C143" s="39" t="n">
        <x:v>772000</x:v>
      </x:c>
      <x:c r="D143" s="39" t="n">
        <x:f>C143*0.05</x:f>
        <x:v>38600</x:v>
      </x:c>
      <x:c r="E143" s="39" t="n">
        <x:v>997000</x:v>
      </x:c>
      <x:c r="F143" s="39" t="n">
        <x:v>4240</x:v>
      </x:c>
      <x:c r="G143" s="39" t="n">
        <x:v>0</x:v>
      </x:c>
      <x:c r="H143" s="40" t="n">
        <x:v>0</x:v>
      </x:c>
      <x:c r="I143" s="16" t="n">
        <x:v>0</x:v>
      </x:c>
      <x:c r="J143" s="16" t="str">
        <x:v>Kharif demand window</x:v>
      </x:c>
      <x:c r="K143" s="39" t="n">
        <x:v>1030</x:v>
      </x:c>
      <x:c r="L143" s="16" t="n">
        <x:v>0</x:v>
      </x:c>
      <x:c r="M143" s="16" t="str"/>
      <x:c r="N143" s="16" t="str">
        <x:v>Train</x:v>
      </x:c>
    </x:row>
    <x:row r="144">
      <x:c r="A144" s="38" t="n">
        <x:v>45908</x:v>
      </x:c>
      <x:c r="B144" s="16" t="str">
        <x:v>Engro Urea - 50 kg bag</x:v>
      </x:c>
      <x:c r="C144" s="39" t="n">
        <x:v>989000</x:v>
      </x:c>
      <x:c r="D144" s="39" t="n">
        <x:f>C144*0.05</x:f>
        <x:v>49450</x:v>
      </x:c>
      <x:c r="E144" s="39" t="n">
        <x:v>769000</x:v>
      </x:c>
      <x:c r="F144" s="39" t="n">
        <x:v>4300</x:v>
      </x:c>
      <x:c r="G144" s="39" t="n">
        <x:v>1</x:v>
      </x:c>
      <x:c r="H144" s="40" t="n">
        <x:v>0.02</x:v>
      </x:c>
      <x:c r="I144" s="16" t="n">
        <x:v>0</x:v>
      </x:c>
      <x:c r="J144" s="16" t="str">
        <x:v>Kharif demand window</x:v>
      </x:c>
      <x:c r="K144" s="39" t="n">
        <x:v>1042</x:v>
      </x:c>
      <x:c r="L144" s="16" t="n">
        <x:v>0</x:v>
      </x:c>
      <x:c r="M144" s="16" t="str"/>
      <x:c r="N144" s="16" t="str">
        <x:v>Train</x:v>
      </x:c>
    </x:row>
    <x:row r="145">
      <x:c r="A145" s="38" t="n">
        <x:v>45915</x:v>
      </x:c>
      <x:c r="B145" s="16" t="str">
        <x:v>Engro Urea - 50 kg bag</x:v>
      </x:c>
      <x:c r="C145" s="39" t="n">
        <x:v>829000</x:v>
      </x:c>
      <x:c r="D145" s="39" t="n">
        <x:f>C145*0.05</x:f>
        <x:v>41450</x:v>
      </x:c>
      <x:c r="E145" s="39" t="n">
        <x:v>930000</x:v>
      </x:c>
      <x:c r="F145" s="39" t="n">
        <x:v>4240</x:v>
      </x:c>
      <x:c r="G145" s="39" t="n">
        <x:v>0</x:v>
      </x:c>
      <x:c r="H145" s="40" t="n">
        <x:v>0</x:v>
      </x:c>
      <x:c r="I145" s="16" t="n">
        <x:v>0</x:v>
      </x:c>
      <x:c r="J145" s="16" t="str">
        <x:v>Kharif demand window</x:v>
      </x:c>
      <x:c r="K145" s="39" t="n">
        <x:v>1039</x:v>
      </x:c>
      <x:c r="L145" s="16" t="n">
        <x:v>0</x:v>
      </x:c>
      <x:c r="M145" s="16" t="str"/>
      <x:c r="N145" s="16" t="str">
        <x:v>Train</x:v>
      </x:c>
    </x:row>
    <x:row r="146">
      <x:c r="A146" s="38" t="n">
        <x:v>45922</x:v>
      </x:c>
      <x:c r="B146" s="16" t="str">
        <x:v>Engro Urea - 50 kg bag</x:v>
      </x:c>
      <x:c r="C146" s="39" t="n">
        <x:v>919000</x:v>
      </x:c>
      <x:c r="D146" s="39" t="n">
        <x:f>C146*0.05</x:f>
        <x:v>45950</x:v>
      </x:c>
      <x:c r="E146" s="39" t="n">
        <x:v>819000</x:v>
      </x:c>
      <x:c r="F146" s="39" t="n">
        <x:v>4240</x:v>
      </x:c>
      <x:c r="G146" s="39" t="n">
        <x:v>0</x:v>
      </x:c>
      <x:c r="H146" s="40" t="n">
        <x:v>0</x:v>
      </x:c>
      <x:c r="I146" s="16" t="n">
        <x:v>0</x:v>
      </x:c>
      <x:c r="J146" s="16" t="str">
        <x:v>Kharif demand window</x:v>
      </x:c>
      <x:c r="K146" s="39" t="n">
        <x:v>1031</x:v>
      </x:c>
      <x:c r="L146" s="16" t="n">
        <x:v>0</x:v>
      </x:c>
      <x:c r="M146" s="16" t="str"/>
      <x:c r="N146" s="16" t="str">
        <x:v>Train</x:v>
      </x:c>
    </x:row>
    <x:row r="147">
      <x:c r="A147" s="38" t="n">
        <x:v>45929</x:v>
      </x:c>
      <x:c r="B147" s="16" t="str">
        <x:v>Engro Urea - 50 kg bag</x:v>
      </x:c>
      <x:c r="C147" s="39" t="n">
        <x:v>822000</x:v>
      </x:c>
      <x:c r="D147" s="39" t="n">
        <x:f>C147*0.05</x:f>
        <x:v>41100</x:v>
      </x:c>
      <x:c r="E147" s="39" t="n">
        <x:v>914000</x:v>
      </x:c>
      <x:c r="F147" s="39" t="n">
        <x:v>4280</x:v>
      </x:c>
      <x:c r="G147" s="39" t="n">
        <x:v>0</x:v>
      </x:c>
      <x:c r="H147" s="40" t="n">
        <x:v>0</x:v>
      </x:c>
      <x:c r="I147" s="16" t="n">
        <x:v>0</x:v>
      </x:c>
      <x:c r="J147" s="16" t="str">
        <x:v>Kharif demand window</x:v>
      </x:c>
      <x:c r="K147" s="39" t="n">
        <x:v>1046</x:v>
      </x:c>
      <x:c r="L147" s="16" t="n">
        <x:v>0</x:v>
      </x:c>
      <x:c r="M147" s="16" t="str"/>
      <x:c r="N147" s="16" t="str">
        <x:v>Train</x:v>
      </x:c>
    </x:row>
    <x:row r="148">
      <x:c r="A148" s="38" t="n">
        <x:v>45936</x:v>
      </x:c>
      <x:c r="B148" s="16" t="str">
        <x:v>Engro Urea - 50 kg bag</x:v>
      </x:c>
      <x:c r="C148" s="39" t="n">
        <x:v>826000</x:v>
      </x:c>
      <x:c r="D148" s="39" t="n">
        <x:f>C148*0.05</x:f>
        <x:v>41300</x:v>
      </x:c>
      <x:c r="E148" s="39" t="n">
        <x:v>803000</x:v>
      </x:c>
      <x:c r="F148" s="39" t="n">
        <x:v>4340</x:v>
      </x:c>
      <x:c r="G148" s="39" t="n">
        <x:v>0</x:v>
      </x:c>
      <x:c r="H148" s="40" t="n">
        <x:v>0</x:v>
      </x:c>
      <x:c r="I148" s="16" t="n">
        <x:v>0</x:v>
      </x:c>
      <x:c r="J148" s="16" t="str">
        <x:v>Normal / shoulder period</x:v>
      </x:c>
      <x:c r="K148" s="39" t="n">
        <x:v>1032</x:v>
      </x:c>
      <x:c r="L148" s="16" t="n">
        <x:v>0</x:v>
      </x:c>
      <x:c r="M148" s="16" t="str"/>
      <x:c r="N148" s="16" t="str">
        <x:v>Holdout</x:v>
      </x:c>
    </x:row>
    <x:row r="149">
      <x:c r="A149" s="38" t="n">
        <x:v>45943</x:v>
      </x:c>
      <x:c r="B149" s="16" t="str">
        <x:v>Engro Urea - 50 kg bag</x:v>
      </x:c>
      <x:c r="C149" s="39" t="n">
        <x:v>770000</x:v>
      </x:c>
      <x:c r="D149" s="39" t="n">
        <x:f>C149*0.05</x:f>
        <x:v>38500</x:v>
      </x:c>
      <x:c r="E149" s="39" t="n">
        <x:v>815000</x:v>
      </x:c>
      <x:c r="F149" s="39" t="n">
        <x:v>4400</x:v>
      </x:c>
      <x:c r="G149" s="39" t="n">
        <x:v>0</x:v>
      </x:c>
      <x:c r="H149" s="40" t="n">
        <x:v>0</x:v>
      </x:c>
      <x:c r="I149" s="16" t="n">
        <x:v>0</x:v>
      </x:c>
      <x:c r="J149" s="16" t="str">
        <x:v>Normal / shoulder period</x:v>
      </x:c>
      <x:c r="K149" s="39" t="n">
        <x:v>1061</x:v>
      </x:c>
      <x:c r="L149" s="16" t="n">
        <x:v>0</x:v>
      </x:c>
      <x:c r="M149" s="16" t="str"/>
      <x:c r="N149" s="16" t="str">
        <x:v>Holdout</x:v>
      </x:c>
    </x:row>
    <x:row r="150">
      <x:c r="A150" s="38" t="n">
        <x:v>45950</x:v>
      </x:c>
      <x:c r="B150" s="16" t="str">
        <x:v>Engro Urea - 50 kg bag</x:v>
      </x:c>
      <x:c r="C150" s="39" t="n">
        <x:v>818000</x:v>
      </x:c>
      <x:c r="D150" s="39" t="n">
        <x:f>C150*0.05</x:f>
        <x:v>40900</x:v>
      </x:c>
      <x:c r="E150" s="39" t="n">
        <x:v>739000</x:v>
      </x:c>
      <x:c r="F150" s="39" t="n">
        <x:v>4320</x:v>
      </x:c>
      <x:c r="G150" s="39" t="n">
        <x:v>0</x:v>
      </x:c>
      <x:c r="H150" s="40" t="n">
        <x:v>0</x:v>
      </x:c>
      <x:c r="I150" s="16" t="n">
        <x:v>0</x:v>
      </x:c>
      <x:c r="J150" s="16" t="str">
        <x:v>Normal / shoulder period</x:v>
      </x:c>
      <x:c r="K150" s="39" t="n">
        <x:v>1055</x:v>
      </x:c>
      <x:c r="L150" s="16" t="n">
        <x:v>0</x:v>
      </x:c>
      <x:c r="M150" s="16" t="str"/>
      <x:c r="N150" s="16" t="str">
        <x:v>Holdout</x:v>
      </x:c>
    </x:row>
    <x:row r="151">
      <x:c r="A151" s="38" t="n">
        <x:v>45957</x:v>
      </x:c>
      <x:c r="B151" s="16" t="str">
        <x:v>Engro Urea - 50 kg bag</x:v>
      </x:c>
      <x:c r="C151" s="39" t="n">
        <x:v>854000</x:v>
      </x:c>
      <x:c r="D151" s="39" t="n">
        <x:f>C151*0.05</x:f>
        <x:v>42700</x:v>
      </x:c>
      <x:c r="E151" s="39" t="n">
        <x:v>797000</x:v>
      </x:c>
      <x:c r="F151" s="39" t="n">
        <x:v>4380</x:v>
      </x:c>
      <x:c r="G151" s="39" t="n">
        <x:v>1</x:v>
      </x:c>
      <x:c r="H151" s="40" t="n">
        <x:v>0.04</x:v>
      </x:c>
      <x:c r="I151" s="16" t="n">
        <x:v>0</x:v>
      </x:c>
      <x:c r="J151" s="16" t="str">
        <x:v>Normal / shoulder period</x:v>
      </x:c>
      <x:c r="K151" s="39" t="n">
        <x:v>1021</x:v>
      </x:c>
      <x:c r="L151" s="16" t="n">
        <x:v>0</x:v>
      </x:c>
      <x:c r="M151" s="16" t="str"/>
      <x:c r="N151" s="16" t="str">
        <x:v>Holdout</x:v>
      </x:c>
    </x:row>
    <x:row r="152">
      <x:c r="A152" s="38" t="n">
        <x:v>45964</x:v>
      </x:c>
      <x:c r="B152" s="16" t="str">
        <x:v>Engro Urea - 50 kg bag</x:v>
      </x:c>
      <x:c r="C152" s="39" t="n">
        <x:v>1026000</x:v>
      </x:c>
      <x:c r="D152" s="39" t="n">
        <x:f>C152*0.05</x:f>
        <x:v>51300</x:v>
      </x:c>
      <x:c r="E152" s="39" t="n">
        <x:v>903000</x:v>
      </x:c>
      <x:c r="F152" s="39" t="n">
        <x:v>4360</x:v>
      </x:c>
      <x:c r="G152" s="39" t="n">
        <x:v>0</x:v>
      </x:c>
      <x:c r="H152" s="40" t="n">
        <x:v>0</x:v>
      </x:c>
      <x:c r="I152" s="16" t="n">
        <x:v>1</x:v>
      </x:c>
      <x:c r="J152" s="16" t="str">
        <x:v>Rabi demand window</x:v>
      </x:c>
      <x:c r="K152" s="39" t="n">
        <x:v>1070</x:v>
      </x:c>
      <x:c r="L152" s="16" t="n">
        <x:v>0</x:v>
      </x:c>
      <x:c r="M152" s="16" t="str"/>
      <x:c r="N152" s="16" t="str">
        <x:v>Holdout</x:v>
      </x:c>
    </x:row>
    <x:row r="153">
      <x:c r="A153" s="38" t="n">
        <x:v>45971</x:v>
      </x:c>
      <x:c r="B153" s="16" t="str">
        <x:v>Engro Urea - 50 kg bag</x:v>
      </x:c>
      <x:c r="C153" s="39" t="n">
        <x:v>791000</x:v>
      </x:c>
      <x:c r="D153" s="39" t="n">
        <x:f>C153*0.05</x:f>
        <x:v>39550</x:v>
      </x:c>
      <x:c r="E153" s="39" t="n">
        <x:v>1080000</x:v>
      </x:c>
      <x:c r="F153" s="39" t="n">
        <x:v>4380</x:v>
      </x:c>
      <x:c r="G153" s="39" t="n">
        <x:v>0</x:v>
      </x:c>
      <x:c r="H153" s="40" t="n">
        <x:v>0</x:v>
      </x:c>
      <x:c r="I153" s="16" t="n">
        <x:v>1</x:v>
      </x:c>
      <x:c r="J153" s="16" t="str">
        <x:v>Rabi demand window</x:v>
      </x:c>
      <x:c r="K153" s="39" t="n">
        <x:v>1039</x:v>
      </x:c>
      <x:c r="L153" s="16" t="n">
        <x:v>1</x:v>
      </x:c>
      <x:c r="M153" s="16" t="str"/>
      <x:c r="N153" s="16" t="str">
        <x:v>Holdout</x:v>
      </x:c>
    </x:row>
    <x:row r="154">
      <x:c r="A154" s="38" t="n">
        <x:v>45978</x:v>
      </x:c>
      <x:c r="B154" s="16" t="str">
        <x:v>Engro Urea - 50 kg bag</x:v>
      </x:c>
      <x:c r="C154" s="39" t="n">
        <x:v>1022000</x:v>
      </x:c>
      <x:c r="D154" s="39" t="n">
        <x:f>C154*0.05</x:f>
        <x:v>51100</x:v>
      </x:c>
      <x:c r="E154" s="39" t="n">
        <x:v>814000</x:v>
      </x:c>
      <x:c r="F154" s="39" t="n">
        <x:v>4380</x:v>
      </x:c>
      <x:c r="G154" s="39" t="n">
        <x:v>0</x:v>
      </x:c>
      <x:c r="H154" s="40" t="n">
        <x:v>0</x:v>
      </x:c>
      <x:c r="I154" s="16" t="n">
        <x:v>1</x:v>
      </x:c>
      <x:c r="J154" s="16" t="str">
        <x:v>Rabi demand window</x:v>
      </x:c>
      <x:c r="K154" s="39" t="n">
        <x:v>1043</x:v>
      </x:c>
      <x:c r="L154" s="16" t="n">
        <x:v>0</x:v>
      </x:c>
      <x:c r="M154" s="16" t="str"/>
      <x:c r="N154" s="16" t="str">
        <x:v>Holdout</x:v>
      </x:c>
    </x:row>
    <x:row r="155">
      <x:c r="A155" s="38" t="n">
        <x:v>45985</x:v>
      </x:c>
      <x:c r="B155" s="16" t="str">
        <x:v>Engro Urea - 50 kg bag</x:v>
      </x:c>
      <x:c r="C155" s="39" t="n">
        <x:v>1032000</x:v>
      </x:c>
      <x:c r="D155" s="39" t="n">
        <x:f>C155*0.05</x:f>
        <x:v>51600</x:v>
      </x:c>
      <x:c r="E155" s="39" t="n">
        <x:v>1038000</x:v>
      </x:c>
      <x:c r="F155" s="39" t="n">
        <x:v>4360</x:v>
      </x:c>
      <x:c r="G155" s="39" t="n">
        <x:v>0</x:v>
      </x:c>
      <x:c r="H155" s="40" t="n">
        <x:v>0</x:v>
      </x:c>
      <x:c r="I155" s="16" t="n">
        <x:v>1</x:v>
      </x:c>
      <x:c r="J155" s="16" t="str">
        <x:v>Rabi demand window</x:v>
      </x:c>
      <x:c r="K155" s="39" t="n">
        <x:v>1050</x:v>
      </x:c>
      <x:c r="L155" s="16" t="n">
        <x:v>0</x:v>
      </x:c>
      <x:c r="M155" s="16" t="str"/>
      <x:c r="N155" s="16" t="str">
        <x:v>Holdout</x:v>
      </x:c>
    </x:row>
    <x:row r="156">
      <x:c r="A156" s="38" t="n">
        <x:v>45992</x:v>
      </x:c>
      <x:c r="B156" s="16" t="str">
        <x:v>Engro Urea - 50 kg bag</x:v>
      </x:c>
      <x:c r="C156" s="39" t="n">
        <x:v>1063000</x:v>
      </x:c>
      <x:c r="D156" s="39" t="n">
        <x:f>C156*0.05</x:f>
        <x:v>53150</x:v>
      </x:c>
      <x:c r="E156" s="39" t="n">
        <x:v>1073000</x:v>
      </x:c>
      <x:c r="F156" s="39" t="n">
        <x:v>4360</x:v>
      </x:c>
      <x:c r="G156" s="39" t="n">
        <x:v>0</x:v>
      </x:c>
      <x:c r="H156" s="40" t="n">
        <x:v>0</x:v>
      </x:c>
      <x:c r="I156" s="16" t="n">
        <x:v>1</x:v>
      </x:c>
      <x:c r="J156" s="16" t="str">
        <x:v>Rabi demand window</x:v>
      </x:c>
      <x:c r="K156" s="39" t="n">
        <x:v>1055</x:v>
      </x:c>
      <x:c r="L156" s="16" t="n">
        <x:v>0</x:v>
      </x:c>
      <x:c r="M156" s="16" t="str"/>
      <x:c r="N156" s="16" t="str">
        <x:v>Holdout</x:v>
      </x:c>
    </x:row>
    <x:row r="157">
      <x:c r="A157" s="38" t="n">
        <x:v>45999</x:v>
      </x:c>
      <x:c r="B157" s="16" t="str">
        <x:v>Engro Urea - 50 kg bag</x:v>
      </x:c>
      <x:c r="C157" s="39" t="n">
        <x:v>1138000</x:v>
      </x:c>
      <x:c r="D157" s="39" t="n">
        <x:f>C157*0.05</x:f>
        <x:v>56900</x:v>
      </x:c>
      <x:c r="E157" s="39" t="n">
        <x:v>1156000</x:v>
      </x:c>
      <x:c r="F157" s="39" t="n">
        <x:v>4400</x:v>
      </x:c>
      <x:c r="G157" s="39" t="n">
        <x:v>0</x:v>
      </x:c>
      <x:c r="H157" s="40" t="n">
        <x:v>0</x:v>
      </x:c>
      <x:c r="I157" s="16" t="n">
        <x:v>1</x:v>
      </x:c>
      <x:c r="J157" s="16" t="str">
        <x:v>Rabi demand window</x:v>
      </x:c>
      <x:c r="K157" s="39" t="n">
        <x:v>1031</x:v>
      </x:c>
      <x:c r="L157" s="16" t="n">
        <x:v>0</x:v>
      </x:c>
      <x:c r="M157" s="16" t="str"/>
      <x:c r="N157" s="16" t="str">
        <x:v>Holdout</x:v>
      </x:c>
    </x:row>
    <x:row r="158">
      <x:c r="A158" s="38" t="n">
        <x:v>46006</x:v>
      </x:c>
      <x:c r="B158" s="16" t="str">
        <x:v>Engro Urea - 50 kg bag</x:v>
      </x:c>
      <x:c r="C158" s="39" t="n">
        <x:v>1072000</x:v>
      </x:c>
      <x:c r="D158" s="39" t="n">
        <x:f>C158*0.05</x:f>
        <x:v>53600</x:v>
      </x:c>
      <x:c r="E158" s="39" t="n">
        <x:v>1162000</x:v>
      </x:c>
      <x:c r="F158" s="39" t="n">
        <x:v>4380</x:v>
      </x:c>
      <x:c r="G158" s="39" t="n">
        <x:v>1</x:v>
      </x:c>
      <x:c r="H158" s="40" t="n">
        <x:v>0.03</x:v>
      </x:c>
      <x:c r="I158" s="16" t="n">
        <x:v>1</x:v>
      </x:c>
      <x:c r="J158" s="16" t="str">
        <x:v>Rabi demand window</x:v>
      </x:c>
      <x:c r="K158" s="39" t="n">
        <x:v>1041</x:v>
      </x:c>
      <x:c r="L158" s="16" t="n">
        <x:v>0</x:v>
      </x:c>
      <x:c r="M158" s="16" t="str"/>
      <x:c r="N158" s="16" t="str">
        <x:v>Holdout</x:v>
      </x:c>
    </x:row>
    <x:row r="159">
      <x:c r="A159" s="38" t="n">
        <x:v>46013</x:v>
      </x:c>
      <x:c r="B159" s="16" t="str">
        <x:v>Engro Urea - 50 kg bag</x:v>
      </x:c>
      <x:c r="C159" s="39" t="n">
        <x:v>1049000</x:v>
      </x:c>
      <x:c r="D159" s="39" t="n">
        <x:f>C159*0.05</x:f>
        <x:v>52450</x:v>
      </x:c>
      <x:c r="E159" s="39" t="n">
        <x:v>1095000</x:v>
      </x:c>
      <x:c r="F159" s="39" t="n">
        <x:v>4400</x:v>
      </x:c>
      <x:c r="G159" s="39" t="n">
        <x:v>0</x:v>
      </x:c>
      <x:c r="H159" s="40" t="n">
        <x:v>0</x:v>
      </x:c>
      <x:c r="I159" s="16" t="n">
        <x:v>1</x:v>
      </x:c>
      <x:c r="J159" s="16" t="str">
        <x:v>Rabi demand window</x:v>
      </x:c>
      <x:c r="K159" s="39" t="n">
        <x:v>1055</x:v>
      </x:c>
      <x:c r="L159" s="16" t="n">
        <x:v>0</x:v>
      </x:c>
      <x:c r="M159" s="16" t="str"/>
      <x:c r="N159" s="16" t="str">
        <x:v>Holdout</x:v>
      </x:c>
    </x:row>
  </x:sheetData>
  <x:mergeCells>
    <x:mergeCell ref="A1:N1"/>
  </x:mergeCells>
  <x:conditionalFormatting sqref="N4:N159">
    <x:cfRule type="expression" dxfId="0" priority="1">
      <x:formula>N4="Holdout"</x:formula>
    </x:cfRule>
  </x:conditionalFormatting>
  <x:conditionalFormatting sqref="L4:L159">
    <x:cfRule type="expression" dxfId="1" priority="2">
      <x:formula>L4=1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551ca702a941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0" hidden="0" customWidth="1"/>
    <x:col min="4" max="4" width="24" hidden="0" customWidth="1"/>
    <x:col min="5" max="5" width="32" hidden="0" customWidth="1"/>
  </x:cols>
  <x:sheetData>
    <x:row r="1">
      <x:c r="A1" s="4" t="str">
        <x:v>Data Dictionary — Engro Urea Synthetic Forecast Dataset</x:v>
      </x:c>
      <x:c r="B1" s="4"/>
      <x:c r="C1" s="4"/>
      <x:c r="D1" s="4"/>
      <x:c r="E1" s="4"/>
    </x:row>
    <x:row r="3">
      <x:c r="A3" s="12" t="str">
        <x:v>Field</x:v>
      </x:c>
      <x:c r="B3" s="12" t="str">
        <x:v>Definition</x:v>
      </x:c>
      <x:c r="C3" s="12" t="str">
        <x:v>Unit / Type</x:v>
      </x:c>
      <x:c r="D3" s="12" t="str">
        <x:v>Real / Assumed / Synthetic</x:v>
      </x:c>
      <x:c r="E3" s="12" t="str">
        <x:v>Why Included</x:v>
      </x:c>
    </x:row>
    <x:row r="4">
      <x:c r="A4" s="16" t="str">
        <x:v>Week_Start_Date</x:v>
      </x:c>
      <x:c r="B4" s="16" t="str">
        <x:v>Start date of each weekly observation</x:v>
      </x:c>
      <x:c r="C4" s="16" t="str">
        <x:v>Date</x:v>
      </x:c>
      <x:c r="D4" s="16" t="str">
        <x:v>Synthetic structure</x:v>
      </x:c>
      <x:c r="E4" s="16" t="str">
        <x:v>Time index</x:v>
      </x:c>
    </x:row>
    <x:row r="5">
      <x:c r="A5" s="16" t="str">
        <x:v>Product_or_Category</x:v>
      </x:c>
      <x:c r="B5" s="16" t="str">
        <x:v>Selected forecast object: Engro Urea 50 kg bag</x:v>
      </x:c>
      <x:c r="C5" s="16" t="str">
        <x:v>Text</x:v>
      </x:c>
      <x:c r="D5" s="16" t="str">
        <x:v>Real label</x:v>
      </x:c>
      <x:c r="E5" s="16" t="str">
        <x:v>Identifies product</x:v>
      </x:c>
    </x:row>
    <x:row r="6">
      <x:c r="A6" s="16" t="str">
        <x:v>Actual_Demand_Bags</x:v>
      </x:c>
      <x:c r="B6" s="16" t="str">
        <x:v>Illustrative weekly demand / sales volume</x:v>
      </x:c>
      <x:c r="C6" s="16" t="str">
        <x:v>50 kg bags</x:v>
      </x:c>
      <x:c r="D6" s="16" t="str">
        <x:v>Synthetic, company-calibrated</x:v>
      </x:c>
      <x:c r="E6" s="16" t="str">
        <x:v>Forecast target</x:v>
      </x:c>
    </x:row>
    <x:row r="7">
      <x:c r="A7" s="16" t="str">
        <x:v>Demand_Tonnes</x:v>
      </x:c>
      <x:c r="B7" s="16" t="str">
        <x:v>Actual demand converted at 0.05 tonne per 50 kg bag</x:v>
      </x:c>
      <x:c r="C7" s="16" t="str">
        <x:v>Tonnes</x:v>
      </x:c>
      <x:c r="D7" s="16" t="str">
        <x:v>Derived formula</x:v>
      </x:c>
      <x:c r="E7" s="16" t="str">
        <x:v>Operational interpretation</x:v>
      </x:c>
    </x:row>
    <x:row r="8">
      <x:c r="A8" s="16" t="str">
        <x:v>Historical_Forecast</x:v>
      </x:c>
      <x:c r="B8" s="16" t="str">
        <x:v>Plausible prior weekly forecast available before actual outcome</x:v>
      </x:c>
      <x:c r="C8" s="16" t="str">
        <x:v>50 kg bags</x:v>
      </x:c>
      <x:c r="D8" s="16" t="str">
        <x:v>Synthetic</x:v>
      </x:c>
      <x:c r="E8" s="16" t="str">
        <x:v>Forecast-error practice</x:v>
      </x:c>
    </x:row>
    <x:row r="9">
      <x:c r="A9" s="16" t="str">
        <x:v>Price_PKR_Per_Bag</x:v>
      </x:c>
      <x:c r="B9" s="16" t="str">
        <x:v>Illustrative average realized / market-facing price level</x:v>
      </x:c>
      <x:c r="C9" s="16" t="str">
        <x:v>PKR per 50 kg bag</x:v>
      </x:c>
      <x:c r="D9" s="16" t="str">
        <x:v>Synthetic, market-calibrated</x:v>
      </x:c>
      <x:c r="E9" s="16" t="str">
        <x:v>Regression driver</x:v>
      </x:c>
    </x:row>
    <x:row r="10">
      <x:c r="A10" s="16" t="str">
        <x:v>Promo_Flag</x:v>
      </x:c>
      <x:c r="B10" s="16" t="str">
        <x:v>Dealer/trade commercial scheme active</x:v>
      </x:c>
      <x:c r="C10" s="16" t="str">
        <x:v>0/1</x:v>
      </x:c>
      <x:c r="D10" s="16" t="str">
        <x:v>Synthetic</x:v>
      </x:c>
      <x:c r="E10" s="16" t="str">
        <x:v>Promotion driver</x:v>
      </x:c>
    </x:row>
    <x:row r="11">
      <x:c r="A11" s="16" t="str">
        <x:v>Promo_Depth_Pct</x:v>
      </x:c>
      <x:c r="B11" s="16" t="str">
        <x:v>Illustrative commercial discount / incentive depth</x:v>
      </x:c>
      <x:c r="C11" s="16" t="str">
        <x:v>%</x:v>
      </x:c>
      <x:c r="D11" s="16" t="str">
        <x:v>Synthetic</x:v>
      </x:c>
      <x:c r="E11" s="16" t="str">
        <x:v>Allows varying promotion intensity</x:v>
      </x:c>
    </x:row>
    <x:row r="12">
      <x:c r="A12" s="16" t="str">
        <x:v>Event_Flag</x:v>
      </x:c>
      <x:c r="B12" s="16" t="str">
        <x:v>Major fertilizer application-demand window active</x:v>
      </x:c>
      <x:c r="C12" s="16" t="str">
        <x:v>0/1</x:v>
      </x:c>
      <x:c r="D12" s="16" t="str">
        <x:v>Calendar-grounded synthetic</x:v>
      </x:c>
      <x:c r="E12" s="16" t="str">
        <x:v>Season/event driver</x:v>
      </x:c>
    </x:row>
    <x:row r="13">
      <x:c r="A13" s="16" t="str">
        <x:v>Agricultural_Season</x:v>
      </x:c>
      <x:c r="B13" s="16" t="str">
        <x:v>Rabi, Kharif, or shoulder demand window</x:v>
      </x:c>
      <x:c r="C13" s="16" t="str">
        <x:v>Text</x:v>
      </x:c>
      <x:c r="D13" s="16" t="str">
        <x:v>Calendar-grounded synthetic</x:v>
      </x:c>
      <x:c r="E13" s="16" t="str">
        <x:v>Business interpretation of seasonality</x:v>
      </x:c>
    </x:row>
    <x:row r="14">
      <x:c r="A14" s="16" t="str">
        <x:v>Distribution_Points</x:v>
      </x:c>
      <x:c r="B14" s="16" t="str">
        <x:v>Illustrative active dealer/distribution reach</x:v>
      </x:c>
      <x:c r="C14" s="16" t="str">
        <x:v>Count</x:v>
      </x:c>
      <x:c r="D14" s="16" t="str">
        <x:v>Synthetic assumption</x:v>
      </x:c>
      <x:c r="E14" s="16" t="str">
        <x:v>Additional regression driver</x:v>
      </x:c>
    </x:row>
    <x:row r="15">
      <x:c r="A15" s="16" t="str">
        <x:v>Stockout_Flag</x:v>
      </x:c>
      <x:c r="B15" s="16" t="str">
        <x:v>Availability constraint suppressing observed demand</x:v>
      </x:c>
      <x:c r="C15" s="16" t="str">
        <x:v>0/1</x:v>
      </x:c>
      <x:c r="D15" s="16" t="str">
        <x:v>Synthetic</x:v>
      </x:c>
      <x:c r="E15" s="16" t="str">
        <x:v>Explains abnormal demand suppression</x:v>
      </x:c>
    </x:row>
    <x:row r="16">
      <x:c r="A16" s="16" t="str">
        <x:v>Exceptional_Event</x:v>
      </x:c>
      <x:c r="B16" s="16" t="str">
        <x:v>One-off shock affecting demand or dispatch</x:v>
      </x:c>
      <x:c r="C16" s="16" t="str">
        <x:v>Text</x:v>
      </x:c>
      <x:c r="D16" s="16" t="str">
        <x:v>Synthetic</x:v>
      </x:c>
      <x:c r="E16" s="16" t="str">
        <x:v>Explains major forecast misses</x:v>
      </x:c>
    </x:row>
    <x:row r="17">
      <x:c r="A17" s="16" t="str">
        <x:v>Dataset_Split</x:v>
      </x:c>
      <x:c r="B17" s="16" t="str">
        <x:v>Model-development versus unseen validation period</x:v>
      </x:c>
      <x:c r="C17" s="16" t="str">
        <x:v>Train / Holdout</x:v>
      </x:c>
      <x:c r="D17" s="16" t="str">
        <x:v>Analytical structure</x:v>
      </x:c>
      <x:c r="E17" s="16" t="str">
        <x:v>Prevents leakage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8" hidden="0" customWidth="1"/>
    <x:col min="4" max="4" width="22" hidden="0" customWidth="1"/>
  </x:cols>
  <x:sheetData>
    <x:row r="1">
      <x:c r="A1" s="4" t="str">
        <x:v>Assumption Log — Reviewed Synthetic Design</x:v>
      </x:c>
      <x:c r="B1" s="4"/>
      <x:c r="C1" s="4"/>
      <x:c r="D1" s="4"/>
    </x:row>
    <x:row r="3">
      <x:c r="A3" s="12" t="str">
        <x:v>Assumption</x:v>
      </x:c>
      <x:c r="B3" s="12" t="str">
        <x:v>Design choice</x:v>
      </x:c>
      <x:c r="C3" s="12" t="str">
        <x:v>Rationale</x:v>
      </x:c>
      <x:c r="D3" s="12" t="str">
        <x:v>Status</x:v>
      </x:c>
    </x:row>
    <x:row r="4">
      <x:c r="A4" s="16" t="str">
        <x:v>Demand scale</x:v>
      </x:c>
      <x:c r="B4" s="16" t="str">
        <x:v>Weekly demand centered broadly around 0.8–1.0 million 50 kg bags, with seasonal peaks and troughs.</x:v>
      </x:c>
      <x:c r="C4" s="16" t="str">
        <x:v>Calibrated to EFERT's disclosed urea business scale (2.314 million tonnes sales in FY2025), without reproducing actual weekly records.</x:v>
      </x:c>
      <x:c r="D4" s="16" t="str">
        <x:v>Synthetic / calibrated</x:v>
      </x:c>
    </x:row>
    <x:row r="5">
      <x:c r="A5" s="16" t="str">
        <x:v>Trend</x:v>
      </x:c>
      <x:c r="B5" s="16" t="str">
        <x:v>Mild positive long-run trend across 156 weeks.</x:v>
      </x:c>
      <x:c r="C5" s="16" t="str">
        <x:v>Creates a realistic planning problem while avoiding an implausibly steep growth path.</x:v>
      </x:c>
      <x:c r="D5" s="16" t="str">
        <x:v>Synthetic assumption</x:v>
      </x:c>
    </x:row>
    <x:row r="6">
      <x:c r="A6" s="16" t="str">
        <x:v>Seasonality</x:v>
      </x:c>
      <x:c r="B6" s="16" t="str">
        <x:v>Two broad fertilizer-demand windows: Rabi and Kharif, with strongest effects around Nov-Jan and Jun-Aug.</x:v>
      </x:c>
      <x:c r="C6" s="16" t="str">
        <x:v>Fertilizer demand is linked to crop application cycles rather than FMCG-style holidays.</x:v>
      </x:c>
      <x:c r="D6" s="16" t="str">
        <x:v>Calendar-grounded synthetic</x:v>
      </x:c>
    </x:row>
    <x:row r="7">
      <x:c r="A7" s="16" t="str">
        <x:v>Price effect</x:v>
      </x:c>
      <x:c r="B7" s="16" t="str">
        <x:v>Higher price has a modest, imperfect negative relationship with demand.</x:v>
      </x:c>
      <x:c r="C7" s="16" t="str">
        <x:v>The relationship is deliberately noisy and non-deterministic.</x:v>
      </x:c>
      <x:c r="D7" s="16" t="str">
        <x:v>Synthetic assumption</x:v>
      </x:c>
    </x:row>
    <x:row r="8">
      <x:c r="A8" s="16" t="str">
        <x:v>Promotion effect</x:v>
      </x:c>
      <x:c r="B8" s="16" t="str">
        <x:v>Dealer/trade schemes occur in ~17% of weeks and create variable ~10–18% demand uplift.</x:v>
      </x:c>
      <x:c r="C8" s="16" t="str">
        <x:v>Meets regression-readiness requirements while keeping promotions less dominant than in FMCG.</x:v>
      </x:c>
      <x:c r="D8" s="16" t="str">
        <x:v>Synthetic assumption</x:v>
      </x:c>
    </x:row>
    <x:row r="9">
      <x:c r="A9" s="16" t="str">
        <x:v>Additional driver</x:v>
      </x:c>
      <x:c r="B9" s="16" t="str">
        <x:v>Distribution_Points is used as the additional driver.</x:v>
      </x:c>
      <x:c r="C9" s="16" t="str">
        <x:v>Active distribution reach is operationally plausible and directly interpretable for replenishment planning.</x:v>
      </x:c>
      <x:c r="D9" s="16" t="str">
        <x:v>Synthetic assumption</x:v>
      </x:c>
    </x:row>
    <x:row r="10">
      <x:c r="A10" s="16" t="str">
        <x:v>Stockouts</x:v>
      </x:c>
      <x:c r="B10" s="16" t="str">
        <x:v>A small number of weeks include availability constraints that suppress observed demand.</x:v>
      </x:c>
      <x:c r="C10" s="16" t="str">
        <x:v>Allows diagnosis of abnormal misses and separates demand from fulfilled sales.</x:v>
      </x:c>
      <x:c r="D10" s="16" t="str">
        <x:v>Synthetic assumption</x:v>
      </x:c>
    </x:row>
    <x:row r="11">
      <x:c r="A11" s="16" t="str">
        <x:v>Exceptional events</x:v>
      </x:c>
      <x:c r="B11" s="16" t="str">
        <x:v>Four short-lived one-off shocks affect 1–2 weeks each.</x:v>
      </x:c>
      <x:c r="C11" s="16" t="str">
        <x:v>Creates realistic forecast misses without permanently changing the time-series structure.</x:v>
      </x:c>
      <x:c r="D11" s="16" t="str">
        <x:v>Synthetic assumption</x:v>
      </x:c>
    </x:row>
    <x:row r="12">
      <x:c r="A12" s="16" t="str">
        <x:v>What the data do not capture</x:v>
      </x:c>
      <x:c r="B12" s="16" t="str">
        <x:v>No farm-level transactions, province-level crop acreage, rainfall, gas curtailment, competitor prices, subsidy timing, or exact dealer inventory.</x:v>
      </x:c>
      <x:c r="C12" s="16" t="str">
        <x:v>These are intentionally omitted and should be discussed as limitations/confounders.</x:v>
      </x:c>
      <x:c r="D12" s="16" t="str">
        <x:v>Limitation</x:v>
      </x:c>
    </x:row>
    <x:row r="13">
      <x:c r="A13" s="16" t="str">
        <x:v>Data freeze rule</x:v>
      </x:c>
      <x:c r="B13" s="16" t="str">
        <x:v>Once approved, the dataset will not be regenerated to improve model accuracy.</x:v>
      </x:c>
      <x:c r="C13" s="16" t="str">
        <x:v>Required for honest common-holdout comparison and AI governance.</x:v>
      </x:c>
      <x:c r="D13" s="16" t="str">
        <x:v>Process control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Section 4.2 Master Data Synthesis Prompt — Filled for EFERT</x:v>
      </x:c>
      <x:c r="B1" s="4"/>
      <x:c r="C1" s="4"/>
      <x:c r="D1" s="4"/>
    </x:row>
    <x:row r="3" ht="26" customHeight="1">
      <x:c r="A3" s="44" t="str">
        <x:v>Company-Calibrated Synthetic Dataset for Academic Analysis — illustrative figures, calibrated to Engro Fertilizers Limited (EFERT)'s disclosed scale, not actual company records.
I am a BBA student in a Supply Chain Analytics course. I have selected Engro Fertilizers Limited (EFERT), a company listed on the Pakistan Stock Exchange, as my company for a semester project. I need a SYNTHETIC, illustrative weekly demand dataset for ONE of their products so I can practice forecasting, regression, and validation.
PRODUCT / FORECAST OBJECT: Engro Urea — 50 kg bag (Urea Fertilizer / Straight Fertilizer; Nitrogen Fertilizer)
REAL CONTEXT TO CALIBRATE FROM:
- Company's most recently disclosed annual revenue: PKR 237.131 billion (FY2025 consolidated annual report)
- Broad industry/sector: Fertilizer / agricultural inputs
- Company's fiscal year-end: December 31
- EFERT FY2025 urea sales scale: 2,314 KT
- Engro Urea is marketed in a 50 kg bag and contains 46% nitrogen
Generate 156 weekly observations with the required columns. Use agricultural crop-cycle seasonality rather than Ramadan/Eid seasonality. Use Distribution_Points as the additional driver and justify it because dealer/distribution reach affects product availability and replenishment potential. Include realistic but imperfect price, trade-promotion, event, stockout, and exceptional-event effects. Keep the last 12 weeks as a holdout period and do not use them for model fitting.</x:v>
      </x:c>
      <x:c r="B3" s="44"/>
      <x:c r="C3" s="44"/>
      <x:c r="D3" s="44"/>
    </x:row>
    <x:row r="4" ht="26" customHeight="1">
      <x:c r="A4" s="44"/>
      <x:c r="B4" s="44"/>
      <x:c r="C4" s="44"/>
      <x:c r="D4" s="44"/>
    </x:row>
    <x:row r="5" ht="26" customHeight="1">
      <x:c r="A5" s="44"/>
      <x:c r="B5" s="44"/>
      <x:c r="C5" s="44"/>
      <x:c r="D5" s="44"/>
    </x:row>
    <x:row r="6" ht="26" customHeight="1">
      <x:c r="A6" s="44"/>
      <x:c r="B6" s="44"/>
      <x:c r="C6" s="44"/>
      <x:c r="D6" s="44"/>
    </x:row>
    <x:row r="7" ht="26" customHeight="1">
      <x:c r="A7" s="44"/>
      <x:c r="B7" s="44"/>
      <x:c r="C7" s="44"/>
      <x:c r="D7" s="44"/>
    </x:row>
    <x:row r="8" ht="26" customHeight="1">
      <x:c r="A8" s="44"/>
      <x:c r="B8" s="44"/>
      <x:c r="C8" s="44"/>
      <x:c r="D8" s="44"/>
    </x:row>
    <x:row r="9" ht="26" customHeight="1">
      <x:c r="A9" s="44"/>
      <x:c r="B9" s="44"/>
      <x:c r="C9" s="44"/>
      <x:c r="D9" s="44"/>
    </x:row>
    <x:row r="10" ht="26" customHeight="1">
      <x:c r="A10" s="44"/>
      <x:c r="B10" s="44"/>
      <x:c r="C10" s="44"/>
      <x:c r="D10" s="44"/>
    </x:row>
    <x:row r="11" ht="26" customHeight="1">
      <x:c r="A11" s="44"/>
      <x:c r="B11" s="44"/>
      <x:c r="C11" s="44"/>
      <x:c r="D11" s="44"/>
    </x:row>
    <x:row r="12" ht="26" customHeight="1">
      <x:c r="A12" s="44"/>
      <x:c r="B12" s="44"/>
      <x:c r="C12" s="44"/>
      <x:c r="D12" s="44"/>
    </x:row>
    <x:row r="13" ht="26" customHeight="1">
      <x:c r="A13" s="44"/>
      <x:c r="B13" s="44"/>
      <x:c r="C13" s="44"/>
      <x:c r="D13" s="44"/>
    </x:row>
    <x:row r="14" ht="26" customHeight="1">
      <x:c r="A14" s="44"/>
      <x:c r="B14" s="44"/>
      <x:c r="C14" s="44"/>
      <x:c r="D14" s="44"/>
    </x:row>
    <x:row r="15" ht="26" customHeight="1">
      <x:c r="A15" s="44"/>
      <x:c r="B15" s="44"/>
      <x:c r="C15" s="44"/>
      <x:c r="D15" s="44"/>
    </x:row>
    <x:row r="16" ht="26" customHeight="1">
      <x:c r="A16" s="44"/>
      <x:c r="B16" s="44"/>
      <x:c r="C16" s="44"/>
      <x:c r="D16" s="44"/>
    </x:row>
    <x:row r="17" ht="26" customHeight="1">
      <x:c r="A17" s="44"/>
      <x:c r="B17" s="44"/>
      <x:c r="C17" s="44"/>
      <x:c r="D17" s="44"/>
    </x:row>
    <x:row r="18" ht="26" customHeight="1">
      <x:c r="A18" s="44"/>
      <x:c r="B18" s="44"/>
      <x:c r="C18" s="44"/>
      <x:c r="D18" s="44"/>
    </x:row>
    <x:row r="19" ht="26" customHeight="1">
      <x:c r="A19" s="44"/>
      <x:c r="B19" s="44"/>
      <x:c r="C19" s="44"/>
      <x:c r="D19" s="44"/>
    </x:row>
    <x:row r="20" ht="26" customHeight="1">
      <x:c r="A20" s="44"/>
      <x:c r="B20" s="44"/>
      <x:c r="C20" s="44"/>
      <x:c r="D20" s="44"/>
    </x:row>
  </x:sheetData>
  <x:mergeCells>
    <x:mergeCell ref="A1:D1"/>
    <x:mergeCell ref="A3:D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48" hidden="0" customWidth="1"/>
    <x:col min="4" max="4" width="48" hidden="0" customWidth="1"/>
    <x:col min="5" max="5" width="48" hidden="0" customWidth="1"/>
  </x:cols>
  <x:sheetData>
    <x:row r="1">
      <x:c r="A1" s="12" t="str">
        <x:v>Date</x:v>
      </x:c>
      <x:c r="B1" s="12" t="str">
        <x:v>Task</x:v>
      </x:c>
      <x:c r="C1" s="12" t="str">
        <x:v>Prompt / Instruction</x:v>
      </x:c>
      <x:c r="D1" s="12" t="str">
        <x:v>AI Output</x:v>
      </x:c>
      <x:c r="E1" s="12" t="str">
        <x:v>Human Check / Correction</x:v>
      </x:c>
    </x:row>
    <x:row r="2">
      <x:c r="A2" s="38" t="n">
        <x:v>46300</x:v>
      </x:c>
      <x:c r="B2" s="16" t="str">
        <x:v>Decision framing</x:v>
      </x:c>
      <x:c r="C2" s="16" t="str">
        <x:v>Define a company-specific 12-week forecasting decision for EFERT / Engro Urea.</x:v>
      </x:c>
      <x:c r="D2" s="16" t="str">
        <x:v>12-week supply and distributor replenishment decision framed around 50 kg bags.</x:v>
      </x:c>
      <x:c r="E2" s="16" t="str">
        <x:v>Checked against assignment Section 3; aligned forecast object, horizon and operational action.</x:v>
      </x:c>
    </x:row>
    <x:row r="3">
      <x:c r="A3" s="38" t="n">
        <x:v>46300</x:v>
      </x:c>
      <x:c r="B3" s="16" t="str">
        <x:v>Company calibration research</x:v>
      </x:c>
      <x:c r="C3" s="16" t="str">
        <x:v>Use disclosed EFERT facts to calibrate scale, revenue, fiscal year, pack size and urea business.</x:v>
      </x:c>
      <x:c r="D3" s="16" t="str">
        <x:v>Used EFERT/PSX/NFDC references; separated disclosed facts from synthetic assumptions.</x:v>
      </x:c>
      <x:c r="E3" s="16" t="str">
        <x:v>Confirmed synthetic disclosure wording and avoided presenting weekly values as company records.</x:v>
      </x:c>
    </x:row>
    <x:row r="4">
      <x:c r="A4" s="38" t="n">
        <x:v>46300</x:v>
      </x:c>
      <x:c r="B4" s="16" t="str">
        <x:v>Synthetic dataset generation</x:v>
      </x:c>
      <x:c r="C4" s="16" t="str">
        <x:v>Generate 156 plausible weekly observations with price, promotions, crop-cycle events, distribution points, stockouts and short-lived shocks.</x:v>
      </x:c>
      <x:c r="D4" s="16" t="str">
        <x:v>Created fixed company-calibrated dataset with 144 training weeks and 12 holdout weeks.</x:v>
      </x:c>
      <x:c r="E4" s="16" t="str">
        <x:v>Checked promotion frequency, non-flat prices, independent driver variation, event shocks and non-deterministic effects.</x:v>
      </x:c>
    </x:row>
  </x:sheetData>
  <x:pageMargins left="0.7" right="0.7" top="0.75" bottom="0.75" header="0.3" footer="0.3"/>
</x:worksheet>
</file>